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k6\Downloads\"/>
    </mc:Choice>
  </mc:AlternateContent>
  <xr:revisionPtr revIDLastSave="0" documentId="13_ncr:1_{430D9706-DE0C-4AF5-8420-206FC8291654}" xr6:coauthVersionLast="47" xr6:coauthVersionMax="47" xr10:uidLastSave="{00000000-0000-0000-0000-000000000000}"/>
  <bookViews>
    <workbookView xWindow="-120" yWindow="-120" windowWidth="29040" windowHeight="15840" xr2:uid="{5511170D-D0EC-44A3-95BE-307A8AF07A20}"/>
  </bookViews>
  <sheets>
    <sheet name="Product Backlog" sheetId="1" r:id="rId1"/>
    <sheet name="Retrospesctiva" sheetId="2" r:id="rId2"/>
    <sheet name="Hoja1" sheetId="3" r:id="rId3"/>
    <sheet name="Hoja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" l="1"/>
  <c r="P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O9" i="1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</calcChain>
</file>

<file path=xl/sharedStrings.xml><?xml version="1.0" encoding="utf-8"?>
<sst xmlns="http://schemas.openxmlformats.org/spreadsheetml/2006/main" count="2620" uniqueCount="165">
  <si>
    <t>Backlog</t>
  </si>
  <si>
    <t>Tipo</t>
  </si>
  <si>
    <t>Tarea</t>
  </si>
  <si>
    <t>Prioridad</t>
  </si>
  <si>
    <t>Estado</t>
  </si>
  <si>
    <t>Responsable Diagrama Vista Desarrollo</t>
  </si>
  <si>
    <t>Responsable Diagrama Vista Logica</t>
  </si>
  <si>
    <t>Responsable Diagrama Vista Fisica</t>
  </si>
  <si>
    <t>Responsable Diagrama Vista Proceso</t>
  </si>
  <si>
    <t>Sprint Retrospective</t>
  </si>
  <si>
    <t>Daily Scrum Meeting</t>
  </si>
  <si>
    <t>Responsable Documentacion</t>
  </si>
  <si>
    <t>Responsable Sistema</t>
  </si>
  <si>
    <t>Estimar HH</t>
  </si>
  <si>
    <t>Fecha Inicio</t>
  </si>
  <si>
    <t>Fecha Termino</t>
  </si>
  <si>
    <t>Gestión de Ficha Clínica</t>
  </si>
  <si>
    <t>Registrando historial clinico del paciente</t>
  </si>
  <si>
    <t>Principal</t>
  </si>
  <si>
    <t>Terminado</t>
  </si>
  <si>
    <t>Bastian</t>
  </si>
  <si>
    <t>Marcos</t>
  </si>
  <si>
    <t>Rosita</t>
  </si>
  <si>
    <t>Alejandro</t>
  </si>
  <si>
    <t>Whitney</t>
  </si>
  <si>
    <t>Catalina</t>
  </si>
  <si>
    <t>Registrando los datos del paciente</t>
  </si>
  <si>
    <t>Registrando chequeo fisico del paciente</t>
  </si>
  <si>
    <t>Registrando anamnesis</t>
  </si>
  <si>
    <t>Registrando motivo de consulta</t>
  </si>
  <si>
    <t>Registrando hospitalizaciones</t>
  </si>
  <si>
    <t>Clasificando tipo de atencion</t>
  </si>
  <si>
    <t>Seleccionando tipo de ficha clinica</t>
  </si>
  <si>
    <t>Buscando pacientes en el sistema</t>
  </si>
  <si>
    <t>Registrando fecha y hora de atencion o modificacion de la ficha clinica</t>
  </si>
  <si>
    <t>Almacenando historial de modificaciones</t>
  </si>
  <si>
    <t>(CU 12) Permitir adjuntar imágenes o documentos a la ficha.</t>
  </si>
  <si>
    <t>Pendiente</t>
  </si>
  <si>
    <t>Sin Asignar</t>
  </si>
  <si>
    <t>-</t>
  </si>
  <si>
    <t>(CU 13) Permitir cerrar fichas de atención una vez completadas.</t>
  </si>
  <si>
    <t>Secundario</t>
  </si>
  <si>
    <t>(CU 14) Permitir asociar múltiples pacientes a un mismo tutor.</t>
  </si>
  <si>
    <t>(CU 15) Registrar quién atendió al paciente (veterinario responsable).</t>
  </si>
  <si>
    <t>(CU 16) Diferenciar entre tipos de visita veterinaria: consulta básica, urgencia, etc.</t>
  </si>
  <si>
    <t>(CU 17) Permitir etiquetar el estado emocional o comportamiento del paciente.</t>
  </si>
  <si>
    <t>Terciario</t>
  </si>
  <si>
    <t>(CU 18) Registrar tipo de cirugía (urgencia o programada).</t>
  </si>
  <si>
    <t>(CU 19) Permitir registrar el elemento “otro” para diagnósticos no categorizados.</t>
  </si>
  <si>
    <t>(CU 20) Mostrar insumos utilizados al tutor de forma transparente.</t>
  </si>
  <si>
    <t>(CU 21) Calcular automáticamente la edad a partir de la fecha de nacimiento.</t>
  </si>
  <si>
    <t>(CU 22) Permitir registrar múltiples diagnósticos o prediagnósticos por ficha.</t>
  </si>
  <si>
    <t>(CU 23) Registrar operaciones o cirugías realizadas.</t>
  </si>
  <si>
    <t>(CU 24) Crear y separar fichas clínicas según el tipo de atención.</t>
  </si>
  <si>
    <t>(CU 25) Permitir marcar una ficha como “pendiente” o “completa”.</t>
  </si>
  <si>
    <t>(CU 26) Permitir visualizar alertas clínicas como alergias o condiciones crónicas.</t>
  </si>
  <si>
    <t>(CU 27) Registrar observaciones médicas sensibles solo visibles para el veterinario.</t>
  </si>
  <si>
    <t>(CU 28) Guardar el historial clínico por 5 años según la ley.</t>
  </si>
  <si>
    <t>(CU 29) Contar con alertas automáticas sobre el plazo de conservación del historial.</t>
  </si>
  <si>
    <t>(CU 30) Registrar en bitácora toda solicitud de acceso o modificación de datos.</t>
  </si>
  <si>
    <t>(CU 31) Permitir subir una fotografía del paciente para su identificación visual.</t>
  </si>
  <si>
    <t>(CU 32) Permitir cargar antecedentes médicos previos en formato PDF o imagen.</t>
  </si>
  <si>
    <t>Gestión de Citas</t>
  </si>
  <si>
    <t>(CU 33) Crear, editar y cancelar citas médicas.</t>
  </si>
  <si>
    <t>(CU 34) Agendar cita con especialista y registrar abono.</t>
  </si>
  <si>
    <t>(CU 35) Permitir agendar y registrar visitas a domicilio.</t>
  </si>
  <si>
    <t>Notificaciones y Configuración</t>
  </si>
  <si>
    <t>(CU 36) Enviar recordatorios automáticos al tutor.</t>
  </si>
  <si>
    <t>Cuaternario</t>
  </si>
  <si>
    <t>(CU 37) Mostrar un panel con todas las citas agendadas para el día.</t>
  </si>
  <si>
    <t>(CU 38) Mostrar un calendario con el historial de vacunas y alertas.</t>
  </si>
  <si>
    <t>Gestión Financiera</t>
  </si>
  <si>
    <t>(CU 39) Registrar pagos y abonos realizados por los tutores.</t>
  </si>
  <si>
    <t>(CU 40) Visualizar abonos, cobros y costos asociados.</t>
  </si>
  <si>
    <t>Gestión de Usuarios</t>
  </si>
  <si>
    <t>(CU 41) Permitir registrar a un nuevo tutor en el sistema.</t>
  </si>
  <si>
    <t>(CU 42) Permitir iniciar y cerrar sesión con credenciales de acceso.</t>
  </si>
  <si>
    <t>(CU 43) Permitir roles de usuario con sus respectivos permisos.</t>
  </si>
  <si>
    <t>(CU 44) Permitir recuperar contraseña mediante correo electrónico.</t>
  </si>
  <si>
    <t>(CU 45) Validar campos requeridos al registrar información.</t>
  </si>
  <si>
    <t>(CU 46) Permitir la personalización de notificaciones.</t>
  </si>
  <si>
    <t>(CU 47) Incluir una bandeja de mensajes internos para el personal.</t>
  </si>
  <si>
    <t>Documentos y Reportes</t>
  </si>
  <si>
    <t>(CU 48) Permitir visualizar, agregar y editar recetas médicas.</t>
  </si>
  <si>
    <t>(CU 49) Generar un documento PDF con receta médica, con firma y timbre.</t>
  </si>
  <si>
    <t>(CU 50) Restringir la reimpresión de recetas médicas a una sola vez.</t>
  </si>
  <si>
    <t>(CU 51) Permitir exportar documentos clínicos en formato PDF.</t>
  </si>
  <si>
    <t>(CU 52) Permitir la firma digital del veterinario en documentos médicos.</t>
  </si>
  <si>
    <t>Acceso del Tutor</t>
  </si>
  <si>
    <t>(CU 53) Permitir al tutor visualizar información básica del paciente.</t>
  </si>
  <si>
    <t>(CU 54) Permitir al tutor visualizar la epicrisis en pantalla.</t>
  </si>
  <si>
    <t>(CU 55) Permitir cambiar el idioma de la interfaz del sistema.</t>
  </si>
  <si>
    <t>(CU 56) Guardar la información registrada en la ficha clínica.</t>
  </si>
  <si>
    <t>Alonso</t>
  </si>
  <si>
    <t>Tareas Pendientes</t>
  </si>
  <si>
    <t>Horas de Trabajo Pendientes</t>
  </si>
  <si>
    <t>Blacklog</t>
  </si>
  <si>
    <t>Esfuerzo</t>
  </si>
  <si>
    <t>Adjuntando documentos o imágenes a la ficha clínica.</t>
  </si>
  <si>
    <t>Cerrando ficha de atención.</t>
  </si>
  <si>
    <t>Asociando múltiples pacientes a un mismo tutor.</t>
  </si>
  <si>
    <t>Registrando al veterinario responsable de la atención.</t>
  </si>
  <si>
    <t>Diferenciando tipos de visita veterinaria.</t>
  </si>
  <si>
    <t>Etiquetando estado emocional o comportamiento del paciente</t>
  </si>
  <si>
    <t>Registrando el tipo de cirugía realizada al paciente.</t>
  </si>
  <si>
    <t>Registrando el elemento “otro” para diagnósticos no categorizados.</t>
  </si>
  <si>
    <t>Mostrando insumos utilizados al tutor.</t>
  </si>
  <si>
    <t>Calculando la edad del paciente.</t>
  </si>
  <si>
    <t>Registrando múltiples diagnósticos.</t>
  </si>
  <si>
    <t>Registrando operaciones o cirugías realizadas.</t>
  </si>
  <si>
    <t>Separando fichas clínicas según tipo de atención.</t>
  </si>
  <si>
    <t>Marcando estado de la ficha clínica.</t>
  </si>
  <si>
    <t>Visualizando alertas clínicas del paciente.</t>
  </si>
  <si>
    <t>Registrando observaciones médicas sensibles.</t>
  </si>
  <si>
    <t>Eliminando datos clínicos tras 5 años de retención.</t>
  </si>
  <si>
    <t>Alertando sobre cumplimiento del plazo legal de conservación de historial clínico.</t>
  </si>
  <si>
    <t>Registrando bitácora de solicitudes sobre datos personales.</t>
  </si>
  <si>
    <t>Subiendo fotografía del paciente para su identificación</t>
  </si>
  <si>
    <t>Cargando antecedentes médicos previos de un paciente.</t>
  </si>
  <si>
    <t>Agendando y gestionando citas médicas.</t>
  </si>
  <si>
    <t>Agendamiento y Citas Médicas</t>
  </si>
  <si>
    <t>Agendando una cita médica con un veterinario especialista y registrando abono.</t>
  </si>
  <si>
    <t>Agendando visitas a domicilio.</t>
  </si>
  <si>
    <t>Enviando recordatorios automáticos al tutor.</t>
  </si>
  <si>
    <t>Visualizando el panel de citas del día.</t>
  </si>
  <si>
    <t>Visualizando el historial y alertas de vacunas.</t>
  </si>
  <si>
    <t>Registrando pagos, abonos y estado de cuenta por cliente.</t>
  </si>
  <si>
    <t>Visualizando abonos, cobros y costos asociados.</t>
  </si>
  <si>
    <t>Gestión de Usuarios y Seguridad</t>
  </si>
  <si>
    <t>Registrando un nuevo tutor en el sistema.</t>
  </si>
  <si>
    <t>Iniciando sesión en el sistema.</t>
  </si>
  <si>
    <t>Asignando roles y permisos de usuario.</t>
  </si>
  <si>
    <t>Recuperando contraseña olvidada.</t>
  </si>
  <si>
    <t>Validando campos requeridos al registrar información.</t>
  </si>
  <si>
    <t>(CU 1) Registrar el historial clínico del paciente.</t>
  </si>
  <si>
    <t>(CU 1) Almacenar y visualizar el historial clínico completo del paciente.</t>
  </si>
  <si>
    <t>(CU 2) Registrar los datos del paciente (nombre, especie, raza, etc.).</t>
  </si>
  <si>
    <t>(CU 3) Registrar chequeos físicos (temperatura, frecuencia cardíaca, etc.).</t>
  </si>
  <si>
    <t>(CU 4) Permitir ingresar anamnesis remota y actual.</t>
  </si>
  <si>
    <t>(CU 5) Registrar y mostrar el motivo de la consulta.</t>
  </si>
  <si>
    <t>(CU 6) Registrar información sobre hospitalizaciones y exámenes realizados.</t>
  </si>
  <si>
    <t>(CU 7) Diferenciar los tipos de atención veterinaria (hospitalización, consulta).</t>
  </si>
  <si>
    <t>(CU 8) Crear y gestionar Ficha Clínica General.</t>
  </si>
  <si>
    <t>(CU 8) Crear y gestionar Ficha de Hospitalización.</t>
  </si>
  <si>
    <t>(CU 9) Permitir filtrar y buscar por tipo de paciente, diagnóstico, fecha, etc.</t>
  </si>
  <si>
    <t>(CU 10) Registrar fecha y hora de atención o modificación en la ficha.</t>
  </si>
  <si>
    <t>(CU 11) Almacenar historial de modificaciones de la ficha clínica (bitácora).</t>
  </si>
  <si>
    <t>(CU 33) Visualizar el calendario de citas y recibir recordatorios.</t>
  </si>
  <si>
    <t>(CU 39) Consultar/Visualizar el estado de cuenta del cliente.</t>
  </si>
  <si>
    <t>(CU 54) Permitir al tutor descargar la epicrisis como un archivo (PDF).</t>
  </si>
  <si>
    <t>Adjuntando documentos o imágenes a la ficha clinica.</t>
  </si>
  <si>
    <t>Calculando edad del paciente.</t>
  </si>
  <si>
    <t>Subiendo fotografía del paciente para su identificación.</t>
  </si>
  <si>
    <t>Personalizando la forma en que se reciben notificaciones.</t>
  </si>
  <si>
    <t>Comunicándose mediante la bandeja de mensajes internos.</t>
  </si>
  <si>
    <t>Creando o modificando recetas médicas.</t>
  </si>
  <si>
    <t>Generando receta médica en PDF con la firma y timbre.</t>
  </si>
  <si>
    <t>Restringiendo la reimpresión de recetas médicas.</t>
  </si>
  <si>
    <t>Exportando documentos clínicos en formato PDF.</t>
  </si>
  <si>
    <t>Firmando digitalmente documentos médicos.</t>
  </si>
  <si>
    <t>Visualizando información básica del paciente.</t>
  </si>
  <si>
    <t>Visualizando o descargando la epicrisis del paciente.</t>
  </si>
  <si>
    <t>Cambio el idioma de la interfaz del sistema.</t>
  </si>
  <si>
    <t>Guardando información registrada en la ficha clínica.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</si>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</sst>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FFFFFF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6" fillId="8" borderId="0" applyNumberFormat="0" applyBorder="0" applyAlignment="0" applyProtection="0"/>
  </cellStyleXfs>
  <cellXfs count="47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3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vertical="center" wrapText="1"/>
    </xf>
    <xf numFmtId="0" fontId="0" fillId="0" borderId="4" xfId="0" applyBorder="1"/>
    <xf numFmtId="14" fontId="2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6" fontId="0" fillId="7" borderId="4" xfId="0" applyNumberFormat="1" applyFill="1" applyBorder="1" applyAlignment="1">
      <alignment textRotation="90"/>
    </xf>
    <xf numFmtId="1" fontId="0" fillId="6" borderId="4" xfId="0" applyNumberFormat="1" applyFill="1" applyBorder="1" applyAlignment="1">
      <alignment vertical="center"/>
    </xf>
    <xf numFmtId="0" fontId="0" fillId="6" borderId="4" xfId="0" applyFill="1" applyBorder="1"/>
    <xf numFmtId="0" fontId="0" fillId="0" borderId="6" xfId="0" applyBorder="1"/>
    <xf numFmtId="0" fontId="2" fillId="3" borderId="4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7" borderId="4" xfId="0" applyFont="1" applyFill="1" applyBorder="1" applyAlignment="1">
      <alignment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5" fillId="0" borderId="0" xfId="0" applyFont="1"/>
    <xf numFmtId="0" fontId="6" fillId="8" borderId="0" xfId="1" applyBorder="1"/>
    <xf numFmtId="0" fontId="0" fillId="0" borderId="12" xfId="0" applyBorder="1"/>
    <xf numFmtId="0" fontId="2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6" borderId="4" xfId="0" applyNumberFormat="1" applyFill="1" applyBorder="1" applyAlignment="1">
      <alignment horizontal="center" textRotation="90"/>
    </xf>
    <xf numFmtId="0" fontId="3" fillId="5" borderId="1" xfId="0" applyFont="1" applyFill="1" applyBorder="1" applyAlignment="1">
      <alignment horizontal="justify" vertical="center" wrapText="1"/>
    </xf>
    <xf numFmtId="0" fontId="3" fillId="5" borderId="8" xfId="0" applyFont="1" applyFill="1" applyBorder="1" applyAlignment="1">
      <alignment horizontal="justify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6" fillId="8" borderId="11" xfId="1" applyBorder="1" applyAlignment="1">
      <alignment horizontal="center" vertical="center"/>
    </xf>
    <xf numFmtId="0" fontId="6" fillId="8" borderId="0" xfId="1" applyBorder="1" applyAlignment="1">
      <alignment horizontal="center" vertical="center"/>
    </xf>
    <xf numFmtId="0" fontId="0" fillId="0" borderId="5" xfId="0" applyBorder="1" applyAlignment="1">
      <alignment horizontal="center"/>
    </xf>
    <xf numFmtId="16" fontId="0" fillId="6" borderId="7" xfId="0" applyNumberFormat="1" applyFill="1" applyBorder="1" applyAlignment="1">
      <alignment horizontal="center" textRotation="90"/>
    </xf>
    <xf numFmtId="0" fontId="2" fillId="9" borderId="3" xfId="0" applyFont="1" applyFill="1" applyBorder="1" applyAlignment="1">
      <alignment horizontal="center" vertical="center" wrapText="1"/>
    </xf>
    <xf numFmtId="14" fontId="2" fillId="9" borderId="3" xfId="0" applyNumberFormat="1" applyFont="1" applyFill="1" applyBorder="1" applyAlignment="1">
      <alignment horizontal="center" vertical="center" wrapText="1"/>
    </xf>
  </cellXfs>
  <cellStyles count="2">
    <cellStyle name="60% - Énfasis4" xfId="1" builtinId="44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6244-5147-4368-91C7-20B46227C716}">
  <dimension ref="A6:P79"/>
  <sheetViews>
    <sheetView tabSelected="1" topLeftCell="A45" zoomScale="55" zoomScaleNormal="55" workbookViewId="0">
      <selection activeCell="S50" sqref="S50"/>
    </sheetView>
  </sheetViews>
  <sheetFormatPr baseColWidth="10" defaultColWidth="10.7109375" defaultRowHeight="15" x14ac:dyDescent="0.25"/>
  <cols>
    <col min="1" max="1" width="11.5703125" style="4"/>
    <col min="2" max="2" width="19.140625" style="5" customWidth="1"/>
    <col min="3" max="3" width="24.42578125" style="5" customWidth="1"/>
    <col min="4" max="4" width="12.28515625" style="5" customWidth="1"/>
    <col min="5" max="5" width="12.42578125" customWidth="1"/>
    <col min="6" max="6" width="16.85546875" customWidth="1"/>
    <col min="7" max="7" width="16.5703125" customWidth="1"/>
    <col min="8" max="8" width="16.85546875" customWidth="1"/>
    <col min="9" max="9" width="16.42578125" customWidth="1"/>
    <col min="10" max="10" width="12.42578125" customWidth="1"/>
    <col min="11" max="11" width="15" customWidth="1"/>
    <col min="12" max="12" width="12.7109375" customWidth="1"/>
    <col min="15" max="15" width="12" customWidth="1"/>
  </cols>
  <sheetData>
    <row r="6" spans="1:16" ht="15.75" thickBot="1" x14ac:dyDescent="0.3">
      <c r="A6"/>
      <c r="B6"/>
      <c r="C6"/>
      <c r="D6"/>
    </row>
    <row r="7" spans="1:16" x14ac:dyDescent="0.25">
      <c r="A7" s="25" t="s">
        <v>0</v>
      </c>
      <c r="B7" s="25" t="s">
        <v>1</v>
      </c>
      <c r="C7" s="25" t="s">
        <v>2</v>
      </c>
      <c r="D7" s="25" t="s">
        <v>3</v>
      </c>
      <c r="E7" s="25" t="s">
        <v>4</v>
      </c>
      <c r="F7" s="27" t="s">
        <v>5</v>
      </c>
      <c r="G7" s="27" t="s">
        <v>6</v>
      </c>
      <c r="H7" s="27" t="s">
        <v>7</v>
      </c>
      <c r="I7" s="27" t="s">
        <v>8</v>
      </c>
      <c r="J7" s="25" t="s">
        <v>9</v>
      </c>
      <c r="K7" s="25" t="s">
        <v>10</v>
      </c>
      <c r="L7" s="25" t="s">
        <v>11</v>
      </c>
      <c r="M7" s="25" t="s">
        <v>12</v>
      </c>
      <c r="N7" s="25" t="s">
        <v>13</v>
      </c>
      <c r="O7" s="25" t="s">
        <v>14</v>
      </c>
      <c r="P7" s="25" t="s">
        <v>15</v>
      </c>
    </row>
    <row r="8" spans="1:16" ht="52.9" customHeight="1" thickBot="1" x14ac:dyDescent="0.3">
      <c r="A8" s="26"/>
      <c r="B8" s="26"/>
      <c r="C8" s="26"/>
      <c r="D8" s="26"/>
      <c r="E8" s="26"/>
      <c r="F8" s="28"/>
      <c r="G8" s="28"/>
      <c r="H8" s="28"/>
      <c r="I8" s="28"/>
      <c r="J8" s="26"/>
      <c r="K8" s="26"/>
      <c r="L8" s="26"/>
      <c r="M8" s="26"/>
      <c r="N8" s="26"/>
      <c r="O8" s="26"/>
      <c r="P8" s="26"/>
    </row>
    <row r="9" spans="1:16" ht="52.9" customHeight="1" thickBot="1" x14ac:dyDescent="0.3">
      <c r="A9" s="6">
        <v>1</v>
      </c>
      <c r="B9" s="7" t="s">
        <v>16</v>
      </c>
      <c r="C9" s="7" t="s">
        <v>17</v>
      </c>
      <c r="D9" s="7" t="s">
        <v>18</v>
      </c>
      <c r="E9" s="16" t="s">
        <v>164</v>
      </c>
      <c r="F9" s="16" t="s">
        <v>20</v>
      </c>
      <c r="G9" s="16" t="s">
        <v>21</v>
      </c>
      <c r="H9" s="16" t="s">
        <v>22</v>
      </c>
      <c r="I9" s="16" t="s">
        <v>23</v>
      </c>
      <c r="J9" s="16" t="s">
        <v>24</v>
      </c>
      <c r="K9" s="16" t="s">
        <v>25</v>
      </c>
      <c r="L9" s="16" t="s">
        <v>23</v>
      </c>
      <c r="M9" s="1" t="s">
        <v>23</v>
      </c>
      <c r="N9" s="10">
        <v>3</v>
      </c>
      <c r="O9" s="9">
        <f t="shared" ref="O9:P9" si="0">DATE(2025,6,5)</f>
        <v>45813</v>
      </c>
      <c r="P9" s="9">
        <f>DATE(2025,6,5)</f>
        <v>45813</v>
      </c>
    </row>
    <row r="10" spans="1:16" ht="52.9" customHeight="1" thickBot="1" x14ac:dyDescent="0.3">
      <c r="A10" s="6">
        <v>1</v>
      </c>
      <c r="B10" s="7" t="s">
        <v>16</v>
      </c>
      <c r="C10" s="7" t="s">
        <v>26</v>
      </c>
      <c r="D10" s="7" t="s">
        <v>18</v>
      </c>
      <c r="E10" s="16" t="s">
        <v>164</v>
      </c>
      <c r="F10" s="16" t="s">
        <v>20</v>
      </c>
      <c r="G10" s="16" t="s">
        <v>21</v>
      </c>
      <c r="H10" s="16" t="s">
        <v>22</v>
      </c>
      <c r="I10" s="16" t="s">
        <v>23</v>
      </c>
      <c r="J10" s="16" t="s">
        <v>24</v>
      </c>
      <c r="K10" s="16" t="s">
        <v>25</v>
      </c>
      <c r="L10" s="16" t="s">
        <v>23</v>
      </c>
      <c r="M10" s="1" t="s">
        <v>23</v>
      </c>
      <c r="N10" s="10">
        <v>3</v>
      </c>
      <c r="O10" s="9">
        <f>DATE(2025,6,6)</f>
        <v>45814</v>
      </c>
      <c r="P10" s="9">
        <f>DATE(2025,6,6)</f>
        <v>45814</v>
      </c>
    </row>
    <row r="11" spans="1:16" ht="52.9" customHeight="1" thickBot="1" x14ac:dyDescent="0.3">
      <c r="A11" s="6">
        <v>1</v>
      </c>
      <c r="B11" s="7" t="s">
        <v>16</v>
      </c>
      <c r="C11" s="7" t="s">
        <v>27</v>
      </c>
      <c r="D11" s="7" t="s">
        <v>18</v>
      </c>
      <c r="E11" s="16" t="s">
        <v>164</v>
      </c>
      <c r="F11" s="16" t="s">
        <v>20</v>
      </c>
      <c r="G11" s="16" t="s">
        <v>21</v>
      </c>
      <c r="H11" s="16" t="s">
        <v>22</v>
      </c>
      <c r="I11" s="16" t="s">
        <v>23</v>
      </c>
      <c r="J11" s="16" t="s">
        <v>24</v>
      </c>
      <c r="K11" s="16" t="s">
        <v>25</v>
      </c>
      <c r="L11" s="16" t="s">
        <v>23</v>
      </c>
      <c r="M11" s="1" t="s">
        <v>23</v>
      </c>
      <c r="N11" s="10">
        <v>3</v>
      </c>
      <c r="O11" s="9">
        <f>DATE(2025,6,7)</f>
        <v>45815</v>
      </c>
      <c r="P11" s="9">
        <f>DATE(2025,6,7)</f>
        <v>45815</v>
      </c>
    </row>
    <row r="12" spans="1:16" ht="52.9" customHeight="1" thickBot="1" x14ac:dyDescent="0.3">
      <c r="A12" s="6">
        <v>1</v>
      </c>
      <c r="B12" s="7" t="s">
        <v>16</v>
      </c>
      <c r="C12" s="7" t="s">
        <v>28</v>
      </c>
      <c r="D12" s="7" t="s">
        <v>18</v>
      </c>
      <c r="E12" s="16" t="s">
        <v>164</v>
      </c>
      <c r="F12" s="16" t="s">
        <v>20</v>
      </c>
      <c r="G12" s="16" t="s">
        <v>21</v>
      </c>
      <c r="H12" s="16" t="s">
        <v>22</v>
      </c>
      <c r="I12" s="16" t="s">
        <v>23</v>
      </c>
      <c r="J12" s="16" t="s">
        <v>24</v>
      </c>
      <c r="K12" s="16" t="s">
        <v>25</v>
      </c>
      <c r="L12" s="16" t="s">
        <v>23</v>
      </c>
      <c r="M12" s="1" t="s">
        <v>23</v>
      </c>
      <c r="N12" s="10">
        <v>4</v>
      </c>
      <c r="O12" s="9">
        <f t="shared" ref="O12:P12" si="1">DATE(2025,6,8)</f>
        <v>45816</v>
      </c>
      <c r="P12" s="9">
        <f t="shared" si="1"/>
        <v>45816</v>
      </c>
    </row>
    <row r="13" spans="1:16" ht="52.9" customHeight="1" thickBot="1" x14ac:dyDescent="0.3">
      <c r="A13" s="6">
        <v>1</v>
      </c>
      <c r="B13" s="7" t="s">
        <v>16</v>
      </c>
      <c r="C13" s="7" t="s">
        <v>29</v>
      </c>
      <c r="D13" s="7" t="s">
        <v>18</v>
      </c>
      <c r="E13" s="16" t="s">
        <v>164</v>
      </c>
      <c r="F13" s="16" t="s">
        <v>20</v>
      </c>
      <c r="G13" s="16" t="s">
        <v>21</v>
      </c>
      <c r="H13" s="16" t="s">
        <v>22</v>
      </c>
      <c r="I13" s="16" t="s">
        <v>23</v>
      </c>
      <c r="J13" s="16" t="s">
        <v>24</v>
      </c>
      <c r="K13" s="16" t="s">
        <v>25</v>
      </c>
      <c r="L13" s="16" t="s">
        <v>23</v>
      </c>
      <c r="M13" s="1" t="s">
        <v>23</v>
      </c>
      <c r="N13" s="10">
        <v>4</v>
      </c>
      <c r="O13" s="9">
        <f t="shared" ref="O13:P13" si="2">DATE(2025,6,9)</f>
        <v>45817</v>
      </c>
      <c r="P13" s="9">
        <f t="shared" si="2"/>
        <v>45817</v>
      </c>
    </row>
    <row r="14" spans="1:16" ht="52.9" customHeight="1" thickBot="1" x14ac:dyDescent="0.3">
      <c r="A14" s="6">
        <v>1</v>
      </c>
      <c r="B14" s="7" t="s">
        <v>16</v>
      </c>
      <c r="C14" s="7" t="s">
        <v>30</v>
      </c>
      <c r="D14" s="7" t="s">
        <v>18</v>
      </c>
      <c r="E14" s="16" t="s">
        <v>164</v>
      </c>
      <c r="F14" s="16" t="s">
        <v>20</v>
      </c>
      <c r="G14" s="16" t="s">
        <v>21</v>
      </c>
      <c r="H14" s="16" t="s">
        <v>22</v>
      </c>
      <c r="I14" s="16" t="s">
        <v>23</v>
      </c>
      <c r="J14" s="16" t="s">
        <v>24</v>
      </c>
      <c r="K14" s="16" t="s">
        <v>25</v>
      </c>
      <c r="L14" s="16" t="s">
        <v>23</v>
      </c>
      <c r="M14" s="1" t="s">
        <v>23</v>
      </c>
      <c r="N14" s="10">
        <v>5</v>
      </c>
      <c r="O14" s="9">
        <f t="shared" ref="O14:P14" si="3">DATE(2025,6,10)</f>
        <v>45818</v>
      </c>
      <c r="P14" s="9">
        <f t="shared" si="3"/>
        <v>45818</v>
      </c>
    </row>
    <row r="15" spans="1:16" ht="52.9" customHeight="1" thickBot="1" x14ac:dyDescent="0.3">
      <c r="A15" s="6">
        <v>1</v>
      </c>
      <c r="B15" s="7" t="s">
        <v>16</v>
      </c>
      <c r="C15" s="7" t="s">
        <v>31</v>
      </c>
      <c r="D15" s="7" t="s">
        <v>18</v>
      </c>
      <c r="E15" s="16" t="s">
        <v>164</v>
      </c>
      <c r="F15" s="16" t="s">
        <v>20</v>
      </c>
      <c r="G15" s="16" t="s">
        <v>21</v>
      </c>
      <c r="H15" s="16" t="s">
        <v>22</v>
      </c>
      <c r="I15" s="16" t="s">
        <v>23</v>
      </c>
      <c r="J15" s="16" t="s">
        <v>24</v>
      </c>
      <c r="K15" s="16" t="s">
        <v>25</v>
      </c>
      <c r="L15" s="16" t="s">
        <v>23</v>
      </c>
      <c r="M15" s="1" t="s">
        <v>23</v>
      </c>
      <c r="N15" s="10">
        <v>4</v>
      </c>
      <c r="O15" s="9">
        <f>DATE(2025,6,11)</f>
        <v>45819</v>
      </c>
      <c r="P15" s="9">
        <f>DATE(2025,6,11)</f>
        <v>45819</v>
      </c>
    </row>
    <row r="16" spans="1:16" ht="52.9" customHeight="1" thickBot="1" x14ac:dyDescent="0.3">
      <c r="A16" s="6">
        <v>1</v>
      </c>
      <c r="B16" s="7" t="s">
        <v>16</v>
      </c>
      <c r="C16" s="7" t="s">
        <v>32</v>
      </c>
      <c r="D16" s="7" t="s">
        <v>18</v>
      </c>
      <c r="E16" s="16" t="s">
        <v>164</v>
      </c>
      <c r="F16" s="16" t="s">
        <v>20</v>
      </c>
      <c r="G16" s="16" t="s">
        <v>21</v>
      </c>
      <c r="H16" s="16" t="s">
        <v>22</v>
      </c>
      <c r="I16" s="16" t="s">
        <v>23</v>
      </c>
      <c r="J16" s="16" t="s">
        <v>24</v>
      </c>
      <c r="K16" s="16" t="s">
        <v>25</v>
      </c>
      <c r="L16" s="16" t="s">
        <v>23</v>
      </c>
      <c r="M16" s="1" t="s">
        <v>23</v>
      </c>
      <c r="N16" s="10">
        <v>4</v>
      </c>
      <c r="O16" s="9">
        <f>DATE(2025,6,12)</f>
        <v>45820</v>
      </c>
      <c r="P16" s="9">
        <f>DATE(2025,6,12)</f>
        <v>45820</v>
      </c>
    </row>
    <row r="17" spans="1:16" ht="52.9" customHeight="1" thickBot="1" x14ac:dyDescent="0.3">
      <c r="A17" s="6">
        <v>1</v>
      </c>
      <c r="B17" s="7" t="s">
        <v>16</v>
      </c>
      <c r="C17" s="7" t="s">
        <v>33</v>
      </c>
      <c r="D17" s="7" t="s">
        <v>18</v>
      </c>
      <c r="E17" s="16" t="s">
        <v>164</v>
      </c>
      <c r="F17" s="16" t="s">
        <v>20</v>
      </c>
      <c r="G17" s="16" t="s">
        <v>21</v>
      </c>
      <c r="H17" s="16" t="s">
        <v>22</v>
      </c>
      <c r="I17" s="16" t="s">
        <v>23</v>
      </c>
      <c r="J17" s="16" t="s">
        <v>24</v>
      </c>
      <c r="K17" s="16" t="s">
        <v>25</v>
      </c>
      <c r="L17" s="16" t="s">
        <v>23</v>
      </c>
      <c r="M17" s="1" t="s">
        <v>23</v>
      </c>
      <c r="N17" s="10">
        <v>5</v>
      </c>
      <c r="O17" s="9">
        <f>DATE(2025,6,13)</f>
        <v>45821</v>
      </c>
      <c r="P17" s="9">
        <f>DATE(2025,6,13)</f>
        <v>45821</v>
      </c>
    </row>
    <row r="18" spans="1:16" ht="52.9" customHeight="1" thickBot="1" x14ac:dyDescent="0.3">
      <c r="A18" s="6">
        <v>1</v>
      </c>
      <c r="B18" s="7" t="s">
        <v>16</v>
      </c>
      <c r="C18" s="7" t="s">
        <v>34</v>
      </c>
      <c r="D18" s="7" t="s">
        <v>18</v>
      </c>
      <c r="E18" s="16" t="s">
        <v>164</v>
      </c>
      <c r="F18" s="16" t="s">
        <v>20</v>
      </c>
      <c r="G18" s="16" t="s">
        <v>21</v>
      </c>
      <c r="H18" s="16" t="s">
        <v>22</v>
      </c>
      <c r="I18" s="16" t="s">
        <v>23</v>
      </c>
      <c r="J18" s="16" t="s">
        <v>24</v>
      </c>
      <c r="K18" s="16" t="s">
        <v>25</v>
      </c>
      <c r="L18" s="16" t="s">
        <v>23</v>
      </c>
      <c r="M18" s="1" t="s">
        <v>23</v>
      </c>
      <c r="N18" s="10">
        <v>3</v>
      </c>
      <c r="O18" s="9">
        <f>DATE(2025,6,14)</f>
        <v>45822</v>
      </c>
      <c r="P18" s="9">
        <f>DATE(2025,6,14)</f>
        <v>45822</v>
      </c>
    </row>
    <row r="19" spans="1:16" ht="52.9" customHeight="1" thickBot="1" x14ac:dyDescent="0.3">
      <c r="A19" s="6">
        <v>1</v>
      </c>
      <c r="B19" s="7" t="s">
        <v>16</v>
      </c>
      <c r="C19" s="7" t="s">
        <v>35</v>
      </c>
      <c r="D19" s="7" t="s">
        <v>18</v>
      </c>
      <c r="E19" s="16" t="s">
        <v>164</v>
      </c>
      <c r="F19" s="16" t="s">
        <v>20</v>
      </c>
      <c r="G19" s="16" t="s">
        <v>21</v>
      </c>
      <c r="H19" s="16" t="s">
        <v>22</v>
      </c>
      <c r="I19" s="16" t="s">
        <v>23</v>
      </c>
      <c r="J19" s="16" t="s">
        <v>24</v>
      </c>
      <c r="K19" s="16" t="s">
        <v>25</v>
      </c>
      <c r="L19" s="16" t="s">
        <v>23</v>
      </c>
      <c r="M19" s="1" t="s">
        <v>23</v>
      </c>
      <c r="N19" s="10">
        <v>3</v>
      </c>
      <c r="O19" s="9">
        <f>DATE(2025,6,15)</f>
        <v>45823</v>
      </c>
      <c r="P19" s="9">
        <f>DATE(2025,6,15)</f>
        <v>45823</v>
      </c>
    </row>
    <row r="20" spans="1:16" ht="52.9" customHeight="1" thickBot="1" x14ac:dyDescent="0.3">
      <c r="A20" s="6">
        <v>1</v>
      </c>
      <c r="B20" s="7" t="s">
        <v>16</v>
      </c>
      <c r="C20" s="7" t="s">
        <v>150</v>
      </c>
      <c r="D20" s="7" t="s">
        <v>41</v>
      </c>
      <c r="E20" s="16" t="s">
        <v>164</v>
      </c>
      <c r="F20" s="16" t="s">
        <v>20</v>
      </c>
      <c r="G20" s="16" t="s">
        <v>21</v>
      </c>
      <c r="H20" s="16" t="s">
        <v>22</v>
      </c>
      <c r="I20" s="16" t="s">
        <v>23</v>
      </c>
      <c r="J20" s="16" t="s">
        <v>24</v>
      </c>
      <c r="K20" s="16" t="s">
        <v>25</v>
      </c>
      <c r="L20" s="16" t="s">
        <v>23</v>
      </c>
      <c r="M20" s="1" t="s">
        <v>23</v>
      </c>
      <c r="N20" s="45">
        <v>3</v>
      </c>
      <c r="O20" s="46">
        <v>45897</v>
      </c>
      <c r="P20" s="46">
        <v>45897</v>
      </c>
    </row>
    <row r="21" spans="1:16" ht="52.9" customHeight="1" thickBot="1" x14ac:dyDescent="0.3">
      <c r="A21" s="6">
        <v>1</v>
      </c>
      <c r="B21" s="7" t="s">
        <v>16</v>
      </c>
      <c r="C21" s="7" t="s">
        <v>99</v>
      </c>
      <c r="D21" s="7" t="s">
        <v>41</v>
      </c>
      <c r="E21" s="16" t="s">
        <v>164</v>
      </c>
      <c r="F21" s="16" t="s">
        <v>20</v>
      </c>
      <c r="G21" s="16" t="s">
        <v>21</v>
      </c>
      <c r="H21" s="16" t="s">
        <v>22</v>
      </c>
      <c r="I21" s="16" t="s">
        <v>23</v>
      </c>
      <c r="J21" s="16" t="s">
        <v>24</v>
      </c>
      <c r="K21" s="16" t="s">
        <v>25</v>
      </c>
      <c r="L21" s="16" t="s">
        <v>23</v>
      </c>
      <c r="M21" s="1" t="s">
        <v>23</v>
      </c>
      <c r="N21" s="45">
        <v>3</v>
      </c>
      <c r="O21" s="46">
        <v>45898</v>
      </c>
      <c r="P21" s="46">
        <v>45898</v>
      </c>
    </row>
    <row r="22" spans="1:16" ht="52.9" customHeight="1" thickBot="1" x14ac:dyDescent="0.3">
      <c r="A22" s="6">
        <v>1</v>
      </c>
      <c r="B22" s="7" t="s">
        <v>16</v>
      </c>
      <c r="C22" s="7" t="s">
        <v>100</v>
      </c>
      <c r="D22" s="7" t="s">
        <v>41</v>
      </c>
      <c r="E22" s="16" t="s">
        <v>164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23</v>
      </c>
      <c r="M22" s="1" t="s">
        <v>23</v>
      </c>
      <c r="N22" s="45">
        <v>4</v>
      </c>
      <c r="O22" s="46">
        <v>45899</v>
      </c>
      <c r="P22" s="46">
        <v>45899</v>
      </c>
    </row>
    <row r="23" spans="1:16" ht="52.9" customHeight="1" thickBot="1" x14ac:dyDescent="0.3">
      <c r="A23" s="6">
        <v>1</v>
      </c>
      <c r="B23" s="7" t="s">
        <v>16</v>
      </c>
      <c r="C23" s="7" t="s">
        <v>101</v>
      </c>
      <c r="D23" s="7" t="s">
        <v>41</v>
      </c>
      <c r="E23" s="16" t="s">
        <v>164</v>
      </c>
      <c r="F23" s="16" t="s">
        <v>20</v>
      </c>
      <c r="G23" s="16" t="s">
        <v>21</v>
      </c>
      <c r="H23" s="16" t="s">
        <v>22</v>
      </c>
      <c r="I23" s="16" t="s">
        <v>23</v>
      </c>
      <c r="J23" s="16" t="s">
        <v>24</v>
      </c>
      <c r="K23" s="16" t="s">
        <v>25</v>
      </c>
      <c r="L23" s="16" t="s">
        <v>23</v>
      </c>
      <c r="M23" s="1" t="s">
        <v>23</v>
      </c>
      <c r="N23" s="45">
        <v>3</v>
      </c>
      <c r="O23" s="46">
        <v>45900</v>
      </c>
      <c r="P23" s="46">
        <v>45900</v>
      </c>
    </row>
    <row r="24" spans="1:16" ht="52.9" customHeight="1" thickBot="1" x14ac:dyDescent="0.3">
      <c r="A24" s="6">
        <v>1</v>
      </c>
      <c r="B24" s="7" t="s">
        <v>16</v>
      </c>
      <c r="C24" s="7" t="s">
        <v>102</v>
      </c>
      <c r="D24" s="7" t="s">
        <v>41</v>
      </c>
      <c r="E24" s="16" t="s">
        <v>164</v>
      </c>
      <c r="F24" s="16" t="s">
        <v>20</v>
      </c>
      <c r="G24" s="16" t="s">
        <v>21</v>
      </c>
      <c r="H24" s="16" t="s">
        <v>22</v>
      </c>
      <c r="I24" s="16" t="s">
        <v>23</v>
      </c>
      <c r="J24" s="16" t="s">
        <v>24</v>
      </c>
      <c r="K24" s="16" t="s">
        <v>25</v>
      </c>
      <c r="L24" s="16" t="s">
        <v>23</v>
      </c>
      <c r="M24" s="1" t="s">
        <v>23</v>
      </c>
      <c r="N24" s="45">
        <v>5</v>
      </c>
      <c r="O24" s="46">
        <v>45901</v>
      </c>
      <c r="P24" s="46">
        <v>45901</v>
      </c>
    </row>
    <row r="25" spans="1:16" ht="52.9" customHeight="1" thickBot="1" x14ac:dyDescent="0.3">
      <c r="A25" s="6">
        <v>1</v>
      </c>
      <c r="B25" s="7" t="s">
        <v>16</v>
      </c>
      <c r="C25" s="7" t="s">
        <v>103</v>
      </c>
      <c r="D25" s="7" t="s">
        <v>41</v>
      </c>
      <c r="E25" s="16" t="s">
        <v>164</v>
      </c>
      <c r="F25" s="16" t="s">
        <v>20</v>
      </c>
      <c r="G25" s="16" t="s">
        <v>21</v>
      </c>
      <c r="H25" s="16" t="s">
        <v>22</v>
      </c>
      <c r="I25" s="16" t="s">
        <v>23</v>
      </c>
      <c r="J25" s="16" t="s">
        <v>24</v>
      </c>
      <c r="K25" s="16" t="s">
        <v>25</v>
      </c>
      <c r="L25" s="16" t="s">
        <v>23</v>
      </c>
      <c r="M25" s="1" t="s">
        <v>23</v>
      </c>
      <c r="N25" s="45">
        <v>4</v>
      </c>
      <c r="O25" s="46">
        <v>45902</v>
      </c>
      <c r="P25" s="46">
        <v>45902</v>
      </c>
    </row>
    <row r="26" spans="1:16" ht="52.9" customHeight="1" thickBot="1" x14ac:dyDescent="0.3">
      <c r="A26" s="6">
        <v>1</v>
      </c>
      <c r="B26" s="7" t="s">
        <v>16</v>
      </c>
      <c r="C26" s="7" t="s">
        <v>104</v>
      </c>
      <c r="D26" s="7" t="s">
        <v>41</v>
      </c>
      <c r="E26" s="16" t="s">
        <v>164</v>
      </c>
      <c r="F26" s="16" t="s">
        <v>20</v>
      </c>
      <c r="G26" s="16" t="s">
        <v>21</v>
      </c>
      <c r="H26" s="16" t="s">
        <v>22</v>
      </c>
      <c r="I26" s="16" t="s">
        <v>23</v>
      </c>
      <c r="J26" s="16" t="s">
        <v>24</v>
      </c>
      <c r="K26" s="16" t="s">
        <v>25</v>
      </c>
      <c r="L26" s="16" t="s">
        <v>23</v>
      </c>
      <c r="M26" s="1" t="s">
        <v>23</v>
      </c>
      <c r="N26" s="45">
        <v>3</v>
      </c>
      <c r="O26" s="46">
        <v>45903</v>
      </c>
      <c r="P26" s="46">
        <v>45903</v>
      </c>
    </row>
    <row r="27" spans="1:16" ht="52.9" customHeight="1" thickBot="1" x14ac:dyDescent="0.3">
      <c r="A27" s="6">
        <v>1</v>
      </c>
      <c r="B27" s="7" t="s">
        <v>16</v>
      </c>
      <c r="C27" s="7" t="s">
        <v>105</v>
      </c>
      <c r="D27" s="7" t="s">
        <v>41</v>
      </c>
      <c r="E27" s="16" t="s">
        <v>164</v>
      </c>
      <c r="F27" s="16" t="s">
        <v>20</v>
      </c>
      <c r="G27" s="16" t="s">
        <v>21</v>
      </c>
      <c r="H27" s="16" t="s">
        <v>22</v>
      </c>
      <c r="I27" s="16" t="s">
        <v>23</v>
      </c>
      <c r="J27" s="16" t="s">
        <v>24</v>
      </c>
      <c r="K27" s="16" t="s">
        <v>25</v>
      </c>
      <c r="L27" s="16" t="s">
        <v>23</v>
      </c>
      <c r="M27" s="1" t="s">
        <v>23</v>
      </c>
      <c r="N27" s="45">
        <v>4</v>
      </c>
      <c r="O27" s="46">
        <v>45904</v>
      </c>
      <c r="P27" s="46">
        <v>45904</v>
      </c>
    </row>
    <row r="28" spans="1:16" ht="52.9" customHeight="1" thickBot="1" x14ac:dyDescent="0.3">
      <c r="A28" s="6">
        <v>1</v>
      </c>
      <c r="B28" s="7" t="s">
        <v>16</v>
      </c>
      <c r="C28" s="7" t="s">
        <v>106</v>
      </c>
      <c r="D28" s="7" t="s">
        <v>41</v>
      </c>
      <c r="E28" s="16" t="s">
        <v>164</v>
      </c>
      <c r="F28" s="16" t="s">
        <v>20</v>
      </c>
      <c r="G28" s="16" t="s">
        <v>21</v>
      </c>
      <c r="H28" s="16" t="s">
        <v>22</v>
      </c>
      <c r="I28" s="16" t="s">
        <v>23</v>
      </c>
      <c r="J28" s="16" t="s">
        <v>24</v>
      </c>
      <c r="K28" s="16" t="s">
        <v>25</v>
      </c>
      <c r="L28" s="16" t="s">
        <v>23</v>
      </c>
      <c r="M28" s="1" t="s">
        <v>23</v>
      </c>
      <c r="N28" s="45">
        <v>4</v>
      </c>
      <c r="O28" s="46">
        <v>45905</v>
      </c>
      <c r="P28" s="46">
        <v>45905</v>
      </c>
    </row>
    <row r="29" spans="1:16" ht="52.9" customHeight="1" thickBot="1" x14ac:dyDescent="0.3">
      <c r="A29" s="6">
        <v>1</v>
      </c>
      <c r="B29" s="7" t="s">
        <v>16</v>
      </c>
      <c r="C29" s="7" t="s">
        <v>151</v>
      </c>
      <c r="D29" s="7" t="s">
        <v>41</v>
      </c>
      <c r="E29" s="16" t="s">
        <v>164</v>
      </c>
      <c r="F29" s="16" t="s">
        <v>20</v>
      </c>
      <c r="G29" s="16" t="s">
        <v>21</v>
      </c>
      <c r="H29" s="16" t="s">
        <v>22</v>
      </c>
      <c r="I29" s="16" t="s">
        <v>23</v>
      </c>
      <c r="J29" s="16" t="s">
        <v>24</v>
      </c>
      <c r="K29" s="16" t="s">
        <v>25</v>
      </c>
      <c r="L29" s="16" t="s">
        <v>23</v>
      </c>
      <c r="M29" s="1" t="s">
        <v>23</v>
      </c>
      <c r="N29" s="45">
        <v>3</v>
      </c>
      <c r="O29" s="46">
        <v>45906</v>
      </c>
      <c r="P29" s="46">
        <v>45906</v>
      </c>
    </row>
    <row r="30" spans="1:16" ht="52.9" customHeight="1" thickBot="1" x14ac:dyDescent="0.3">
      <c r="A30" s="6">
        <v>1</v>
      </c>
      <c r="B30" s="7" t="s">
        <v>16</v>
      </c>
      <c r="C30" s="7" t="s">
        <v>108</v>
      </c>
      <c r="D30" s="7" t="s">
        <v>41</v>
      </c>
      <c r="E30" s="16" t="s">
        <v>164</v>
      </c>
      <c r="F30" s="16" t="s">
        <v>20</v>
      </c>
      <c r="G30" s="16" t="s">
        <v>21</v>
      </c>
      <c r="H30" s="16" t="s">
        <v>22</v>
      </c>
      <c r="I30" s="16" t="s">
        <v>23</v>
      </c>
      <c r="J30" s="16" t="s">
        <v>24</v>
      </c>
      <c r="K30" s="16" t="s">
        <v>25</v>
      </c>
      <c r="L30" s="16" t="s">
        <v>23</v>
      </c>
      <c r="M30" s="1" t="s">
        <v>23</v>
      </c>
      <c r="N30" s="45">
        <v>3</v>
      </c>
      <c r="O30" s="46">
        <v>45907</v>
      </c>
      <c r="P30" s="46">
        <v>45907</v>
      </c>
    </row>
    <row r="31" spans="1:16" ht="52.9" customHeight="1" thickBot="1" x14ac:dyDescent="0.3">
      <c r="A31" s="6">
        <v>1</v>
      </c>
      <c r="B31" s="7" t="s">
        <v>16</v>
      </c>
      <c r="C31" s="7" t="s">
        <v>109</v>
      </c>
      <c r="D31" s="7" t="s">
        <v>41</v>
      </c>
      <c r="E31" s="16" t="s">
        <v>164</v>
      </c>
      <c r="F31" s="16" t="s">
        <v>20</v>
      </c>
      <c r="G31" s="16" t="s">
        <v>21</v>
      </c>
      <c r="H31" s="16" t="s">
        <v>22</v>
      </c>
      <c r="I31" s="16" t="s">
        <v>23</v>
      </c>
      <c r="J31" s="16" t="s">
        <v>24</v>
      </c>
      <c r="K31" s="16" t="s">
        <v>25</v>
      </c>
      <c r="L31" s="16" t="s">
        <v>23</v>
      </c>
      <c r="M31" s="1" t="s">
        <v>23</v>
      </c>
      <c r="N31" s="45">
        <v>4</v>
      </c>
      <c r="O31" s="46">
        <v>45908</v>
      </c>
      <c r="P31" s="46">
        <v>45908</v>
      </c>
    </row>
    <row r="32" spans="1:16" ht="52.9" customHeight="1" thickBot="1" x14ac:dyDescent="0.3">
      <c r="A32" s="6">
        <v>1</v>
      </c>
      <c r="B32" s="7" t="s">
        <v>16</v>
      </c>
      <c r="C32" s="7" t="s">
        <v>110</v>
      </c>
      <c r="D32" s="7" t="s">
        <v>41</v>
      </c>
      <c r="E32" s="16" t="s">
        <v>164</v>
      </c>
      <c r="F32" s="16" t="s">
        <v>20</v>
      </c>
      <c r="G32" s="16" t="s">
        <v>21</v>
      </c>
      <c r="H32" s="16" t="s">
        <v>22</v>
      </c>
      <c r="I32" s="16" t="s">
        <v>23</v>
      </c>
      <c r="J32" s="16" t="s">
        <v>24</v>
      </c>
      <c r="K32" s="16" t="s">
        <v>25</v>
      </c>
      <c r="L32" s="16" t="s">
        <v>23</v>
      </c>
      <c r="M32" s="1" t="s">
        <v>23</v>
      </c>
      <c r="N32" s="45">
        <v>3</v>
      </c>
      <c r="O32" s="46">
        <v>45909</v>
      </c>
      <c r="P32" s="46">
        <v>45909</v>
      </c>
    </row>
    <row r="33" spans="1:16" ht="52.9" customHeight="1" thickBot="1" x14ac:dyDescent="0.3">
      <c r="A33" s="6">
        <v>1</v>
      </c>
      <c r="B33" s="7" t="s">
        <v>16</v>
      </c>
      <c r="C33" s="7" t="s">
        <v>111</v>
      </c>
      <c r="D33" s="7" t="s">
        <v>41</v>
      </c>
      <c r="E33" s="16" t="s">
        <v>164</v>
      </c>
      <c r="F33" s="16" t="s">
        <v>20</v>
      </c>
      <c r="G33" s="16" t="s">
        <v>21</v>
      </c>
      <c r="H33" s="16" t="s">
        <v>22</v>
      </c>
      <c r="I33" s="16" t="s">
        <v>23</v>
      </c>
      <c r="J33" s="16" t="s">
        <v>24</v>
      </c>
      <c r="K33" s="16" t="s">
        <v>25</v>
      </c>
      <c r="L33" s="16" t="s">
        <v>23</v>
      </c>
      <c r="M33" s="1" t="s">
        <v>23</v>
      </c>
      <c r="N33" s="45">
        <v>2</v>
      </c>
      <c r="O33" s="46">
        <v>45910</v>
      </c>
      <c r="P33" s="46">
        <v>45910</v>
      </c>
    </row>
    <row r="34" spans="1:16" ht="52.9" customHeight="1" thickBot="1" x14ac:dyDescent="0.3">
      <c r="A34" s="6">
        <v>1</v>
      </c>
      <c r="B34" s="7" t="s">
        <v>16</v>
      </c>
      <c r="C34" s="7" t="s">
        <v>112</v>
      </c>
      <c r="D34" s="7" t="s">
        <v>41</v>
      </c>
      <c r="E34" s="16" t="s">
        <v>164</v>
      </c>
      <c r="F34" s="16" t="s">
        <v>20</v>
      </c>
      <c r="G34" s="16" t="s">
        <v>21</v>
      </c>
      <c r="H34" s="16" t="s">
        <v>22</v>
      </c>
      <c r="I34" s="16" t="s">
        <v>23</v>
      </c>
      <c r="J34" s="16" t="s">
        <v>24</v>
      </c>
      <c r="K34" s="16" t="s">
        <v>25</v>
      </c>
      <c r="L34" s="16" t="s">
        <v>23</v>
      </c>
      <c r="M34" s="1" t="s">
        <v>23</v>
      </c>
      <c r="N34" s="45">
        <v>3</v>
      </c>
      <c r="O34" s="46">
        <v>45911</v>
      </c>
      <c r="P34" s="46">
        <v>45911</v>
      </c>
    </row>
    <row r="35" spans="1:16" ht="52.9" customHeight="1" thickBot="1" x14ac:dyDescent="0.3">
      <c r="A35" s="6">
        <v>1</v>
      </c>
      <c r="B35" s="7" t="s">
        <v>16</v>
      </c>
      <c r="C35" s="7" t="s">
        <v>113</v>
      </c>
      <c r="D35" s="7" t="s">
        <v>41</v>
      </c>
      <c r="E35" s="16" t="s">
        <v>164</v>
      </c>
      <c r="F35" s="16" t="s">
        <v>20</v>
      </c>
      <c r="G35" s="16" t="s">
        <v>21</v>
      </c>
      <c r="H35" s="16" t="s">
        <v>22</v>
      </c>
      <c r="I35" s="16" t="s">
        <v>23</v>
      </c>
      <c r="J35" s="16" t="s">
        <v>24</v>
      </c>
      <c r="K35" s="16" t="s">
        <v>25</v>
      </c>
      <c r="L35" s="16" t="s">
        <v>23</v>
      </c>
      <c r="M35" s="1" t="s">
        <v>23</v>
      </c>
      <c r="N35" s="45">
        <v>3</v>
      </c>
      <c r="O35" s="46">
        <v>45912</v>
      </c>
      <c r="P35" s="46">
        <v>45912</v>
      </c>
    </row>
    <row r="36" spans="1:16" ht="52.9" customHeight="1" thickBot="1" x14ac:dyDescent="0.3">
      <c r="A36" s="6">
        <v>1</v>
      </c>
      <c r="B36" s="7" t="s">
        <v>16</v>
      </c>
      <c r="C36" s="7" t="s">
        <v>114</v>
      </c>
      <c r="D36" s="7" t="s">
        <v>41</v>
      </c>
      <c r="E36" s="16" t="s">
        <v>164</v>
      </c>
      <c r="F36" s="16" t="s">
        <v>20</v>
      </c>
      <c r="G36" s="16" t="s">
        <v>21</v>
      </c>
      <c r="H36" s="16" t="s">
        <v>22</v>
      </c>
      <c r="I36" s="16" t="s">
        <v>23</v>
      </c>
      <c r="J36" s="16" t="s">
        <v>24</v>
      </c>
      <c r="K36" s="16" t="s">
        <v>25</v>
      </c>
      <c r="L36" s="16" t="s">
        <v>23</v>
      </c>
      <c r="M36" s="1" t="s">
        <v>23</v>
      </c>
      <c r="N36" s="45">
        <v>5</v>
      </c>
      <c r="O36" s="46">
        <v>45913</v>
      </c>
      <c r="P36" s="46">
        <v>45913</v>
      </c>
    </row>
    <row r="37" spans="1:16" ht="52.9" customHeight="1" thickBot="1" x14ac:dyDescent="0.3">
      <c r="A37" s="6">
        <v>1</v>
      </c>
      <c r="B37" s="7" t="s">
        <v>16</v>
      </c>
      <c r="C37" s="7" t="s">
        <v>115</v>
      </c>
      <c r="D37" s="7" t="s">
        <v>41</v>
      </c>
      <c r="E37" s="16" t="s">
        <v>164</v>
      </c>
      <c r="F37" s="16" t="s">
        <v>20</v>
      </c>
      <c r="G37" s="16" t="s">
        <v>21</v>
      </c>
      <c r="H37" s="16" t="s">
        <v>22</v>
      </c>
      <c r="I37" s="16" t="s">
        <v>23</v>
      </c>
      <c r="J37" s="16" t="s">
        <v>24</v>
      </c>
      <c r="K37" s="16" t="s">
        <v>25</v>
      </c>
      <c r="L37" s="16" t="s">
        <v>23</v>
      </c>
      <c r="M37" s="1" t="s">
        <v>23</v>
      </c>
      <c r="N37" s="45">
        <v>4</v>
      </c>
      <c r="O37" s="46">
        <v>45914</v>
      </c>
      <c r="P37" s="46">
        <v>45914</v>
      </c>
    </row>
    <row r="38" spans="1:16" ht="52.9" customHeight="1" thickBot="1" x14ac:dyDescent="0.3">
      <c r="A38" s="6">
        <v>1</v>
      </c>
      <c r="B38" s="7" t="s">
        <v>16</v>
      </c>
      <c r="C38" s="7" t="s">
        <v>116</v>
      </c>
      <c r="D38" s="7" t="s">
        <v>41</v>
      </c>
      <c r="E38" s="16" t="s">
        <v>164</v>
      </c>
      <c r="F38" s="16" t="s">
        <v>20</v>
      </c>
      <c r="G38" s="16" t="s">
        <v>21</v>
      </c>
      <c r="H38" s="16" t="s">
        <v>22</v>
      </c>
      <c r="I38" s="16" t="s">
        <v>23</v>
      </c>
      <c r="J38" s="16" t="s">
        <v>24</v>
      </c>
      <c r="K38" s="16" t="s">
        <v>25</v>
      </c>
      <c r="L38" s="16" t="s">
        <v>23</v>
      </c>
      <c r="M38" s="1" t="s">
        <v>23</v>
      </c>
      <c r="N38" s="45">
        <v>4</v>
      </c>
      <c r="O38" s="46">
        <v>45915</v>
      </c>
      <c r="P38" s="46">
        <v>45915</v>
      </c>
    </row>
    <row r="39" spans="1:16" ht="52.9" customHeight="1" thickBot="1" x14ac:dyDescent="0.3">
      <c r="A39" s="6">
        <v>1</v>
      </c>
      <c r="B39" s="7" t="s">
        <v>16</v>
      </c>
      <c r="C39" s="7" t="s">
        <v>152</v>
      </c>
      <c r="D39" s="7" t="s">
        <v>41</v>
      </c>
      <c r="E39" s="16" t="s">
        <v>164</v>
      </c>
      <c r="F39" s="16" t="s">
        <v>20</v>
      </c>
      <c r="G39" s="16" t="s">
        <v>21</v>
      </c>
      <c r="H39" s="16" t="s">
        <v>22</v>
      </c>
      <c r="I39" s="16" t="s">
        <v>23</v>
      </c>
      <c r="J39" s="16" t="s">
        <v>24</v>
      </c>
      <c r="K39" s="16" t="s">
        <v>25</v>
      </c>
      <c r="L39" s="16" t="s">
        <v>23</v>
      </c>
      <c r="M39" s="1" t="s">
        <v>23</v>
      </c>
      <c r="N39" s="45">
        <v>3</v>
      </c>
      <c r="O39" s="46">
        <v>45915</v>
      </c>
      <c r="P39" s="46">
        <v>45916</v>
      </c>
    </row>
    <row r="40" spans="1:16" ht="52.9" customHeight="1" thickBot="1" x14ac:dyDescent="0.3">
      <c r="A40" s="6">
        <v>1</v>
      </c>
      <c r="B40" s="7" t="s">
        <v>16</v>
      </c>
      <c r="C40" s="7" t="s">
        <v>118</v>
      </c>
      <c r="D40" s="7" t="s">
        <v>41</v>
      </c>
      <c r="E40" s="16" t="s">
        <v>164</v>
      </c>
      <c r="F40" s="16" t="s">
        <v>20</v>
      </c>
      <c r="G40" s="16" t="s">
        <v>21</v>
      </c>
      <c r="H40" s="16" t="s">
        <v>22</v>
      </c>
      <c r="I40" s="16" t="s">
        <v>23</v>
      </c>
      <c r="J40" s="16" t="s">
        <v>24</v>
      </c>
      <c r="K40" s="16" t="s">
        <v>25</v>
      </c>
      <c r="L40" s="16" t="s">
        <v>23</v>
      </c>
      <c r="M40" s="1" t="s">
        <v>23</v>
      </c>
      <c r="N40" s="45">
        <v>2</v>
      </c>
      <c r="O40" s="46">
        <v>45916</v>
      </c>
      <c r="P40" s="46">
        <v>45917</v>
      </c>
    </row>
    <row r="41" spans="1:16" ht="52.9" customHeight="1" thickBot="1" x14ac:dyDescent="0.3">
      <c r="A41" s="6">
        <v>1</v>
      </c>
      <c r="B41" s="7" t="s">
        <v>62</v>
      </c>
      <c r="C41" s="7" t="s">
        <v>119</v>
      </c>
      <c r="D41" s="7" t="s">
        <v>41</v>
      </c>
      <c r="E41" s="16" t="s">
        <v>164</v>
      </c>
      <c r="F41" s="16" t="s">
        <v>20</v>
      </c>
      <c r="G41" s="16" t="s">
        <v>21</v>
      </c>
      <c r="H41" s="16" t="s">
        <v>22</v>
      </c>
      <c r="I41" s="16" t="s">
        <v>23</v>
      </c>
      <c r="J41" s="16" t="s">
        <v>24</v>
      </c>
      <c r="K41" s="16" t="s">
        <v>25</v>
      </c>
      <c r="L41" s="16" t="s">
        <v>23</v>
      </c>
      <c r="M41" s="1" t="s">
        <v>23</v>
      </c>
      <c r="N41" s="45">
        <v>3</v>
      </c>
      <c r="O41" s="46">
        <v>45916</v>
      </c>
      <c r="P41" s="46">
        <v>45918</v>
      </c>
    </row>
    <row r="42" spans="1:16" ht="52.9" customHeight="1" thickBot="1" x14ac:dyDescent="0.3">
      <c r="A42" s="6">
        <v>1</v>
      </c>
      <c r="B42" s="7" t="s">
        <v>62</v>
      </c>
      <c r="C42" s="7" t="s">
        <v>121</v>
      </c>
      <c r="D42" s="7" t="s">
        <v>41</v>
      </c>
      <c r="E42" s="16" t="s">
        <v>164</v>
      </c>
      <c r="F42" s="16" t="s">
        <v>20</v>
      </c>
      <c r="G42" s="16" t="s">
        <v>21</v>
      </c>
      <c r="H42" s="16" t="s">
        <v>22</v>
      </c>
      <c r="I42" s="16" t="s">
        <v>23</v>
      </c>
      <c r="J42" s="16" t="s">
        <v>24</v>
      </c>
      <c r="K42" s="16" t="s">
        <v>25</v>
      </c>
      <c r="L42" s="16" t="s">
        <v>23</v>
      </c>
      <c r="M42" s="1" t="s">
        <v>23</v>
      </c>
      <c r="N42" s="45">
        <v>6</v>
      </c>
      <c r="O42" s="46">
        <v>45916</v>
      </c>
      <c r="P42" s="46">
        <v>45919</v>
      </c>
    </row>
    <row r="43" spans="1:16" ht="52.9" customHeight="1" thickBot="1" x14ac:dyDescent="0.3">
      <c r="A43" s="6">
        <v>1</v>
      </c>
      <c r="B43" s="7" t="s">
        <v>62</v>
      </c>
      <c r="C43" s="7" t="s">
        <v>122</v>
      </c>
      <c r="D43" s="7" t="s">
        <v>41</v>
      </c>
      <c r="E43" s="16" t="s">
        <v>164</v>
      </c>
      <c r="F43" s="16" t="s">
        <v>20</v>
      </c>
      <c r="G43" s="16" t="s">
        <v>21</v>
      </c>
      <c r="H43" s="16" t="s">
        <v>22</v>
      </c>
      <c r="I43" s="16" t="s">
        <v>23</v>
      </c>
      <c r="J43" s="16" t="s">
        <v>24</v>
      </c>
      <c r="K43" s="16" t="s">
        <v>25</v>
      </c>
      <c r="L43" s="16" t="s">
        <v>23</v>
      </c>
      <c r="M43" s="1" t="s">
        <v>23</v>
      </c>
      <c r="N43" s="45">
        <v>2</v>
      </c>
      <c r="O43" s="46">
        <v>45917</v>
      </c>
      <c r="P43" s="46">
        <v>45920</v>
      </c>
    </row>
    <row r="44" spans="1:16" ht="52.9" customHeight="1" thickBot="1" x14ac:dyDescent="0.3">
      <c r="A44" s="6">
        <v>1</v>
      </c>
      <c r="B44" s="7" t="s">
        <v>66</v>
      </c>
      <c r="C44" s="7" t="s">
        <v>123</v>
      </c>
      <c r="D44" s="7" t="s">
        <v>41</v>
      </c>
      <c r="E44" s="16" t="s">
        <v>164</v>
      </c>
      <c r="F44" s="16" t="s">
        <v>20</v>
      </c>
      <c r="G44" s="16" t="s">
        <v>21</v>
      </c>
      <c r="H44" s="16" t="s">
        <v>22</v>
      </c>
      <c r="I44" s="16" t="s">
        <v>23</v>
      </c>
      <c r="J44" s="16" t="s">
        <v>24</v>
      </c>
      <c r="K44" s="16" t="s">
        <v>25</v>
      </c>
      <c r="L44" s="16" t="s">
        <v>23</v>
      </c>
      <c r="M44" s="1" t="s">
        <v>23</v>
      </c>
      <c r="N44" s="45">
        <v>5</v>
      </c>
      <c r="O44" s="46">
        <v>45917</v>
      </c>
      <c r="P44" s="46">
        <v>45921</v>
      </c>
    </row>
    <row r="45" spans="1:16" ht="52.9" customHeight="1" thickBot="1" x14ac:dyDescent="0.3">
      <c r="A45" s="6">
        <v>1</v>
      </c>
      <c r="B45" s="7" t="s">
        <v>62</v>
      </c>
      <c r="C45" s="7" t="s">
        <v>124</v>
      </c>
      <c r="D45" s="7" t="s">
        <v>41</v>
      </c>
      <c r="E45" s="16" t="s">
        <v>164</v>
      </c>
      <c r="F45" s="16" t="s">
        <v>20</v>
      </c>
      <c r="G45" s="16" t="s">
        <v>21</v>
      </c>
      <c r="H45" s="16" t="s">
        <v>22</v>
      </c>
      <c r="I45" s="16" t="s">
        <v>23</v>
      </c>
      <c r="J45" s="16" t="s">
        <v>24</v>
      </c>
      <c r="K45" s="16" t="s">
        <v>25</v>
      </c>
      <c r="L45" s="16" t="s">
        <v>23</v>
      </c>
      <c r="M45" s="1" t="s">
        <v>23</v>
      </c>
      <c r="N45" s="45">
        <v>4</v>
      </c>
      <c r="O45" s="46">
        <v>45917</v>
      </c>
      <c r="P45" s="46">
        <v>45922</v>
      </c>
    </row>
    <row r="46" spans="1:16" ht="52.9" customHeight="1" thickBot="1" x14ac:dyDescent="0.3">
      <c r="A46" s="6">
        <v>1</v>
      </c>
      <c r="B46" s="7" t="s">
        <v>62</v>
      </c>
      <c r="C46" s="7" t="s">
        <v>125</v>
      </c>
      <c r="D46" s="7" t="s">
        <v>41</v>
      </c>
      <c r="E46" s="16" t="s">
        <v>164</v>
      </c>
      <c r="F46" s="16" t="s">
        <v>20</v>
      </c>
      <c r="G46" s="16" t="s">
        <v>21</v>
      </c>
      <c r="H46" s="16" t="s">
        <v>22</v>
      </c>
      <c r="I46" s="16" t="s">
        <v>23</v>
      </c>
      <c r="J46" s="16" t="s">
        <v>24</v>
      </c>
      <c r="K46" s="16" t="s">
        <v>25</v>
      </c>
      <c r="L46" s="16" t="s">
        <v>23</v>
      </c>
      <c r="M46" s="1" t="s">
        <v>23</v>
      </c>
      <c r="N46" s="45">
        <v>3</v>
      </c>
      <c r="O46" s="46">
        <v>45918</v>
      </c>
      <c r="P46" s="46">
        <v>45923</v>
      </c>
    </row>
    <row r="47" spans="1:16" ht="52.9" customHeight="1" thickBot="1" x14ac:dyDescent="0.3">
      <c r="A47" s="6">
        <v>1</v>
      </c>
      <c r="B47" s="7" t="s">
        <v>71</v>
      </c>
      <c r="C47" s="7" t="s">
        <v>126</v>
      </c>
      <c r="D47" s="7" t="s">
        <v>41</v>
      </c>
      <c r="E47" s="16" t="s">
        <v>164</v>
      </c>
      <c r="F47" s="16" t="s">
        <v>20</v>
      </c>
      <c r="G47" s="16" t="s">
        <v>21</v>
      </c>
      <c r="H47" s="16" t="s">
        <v>22</v>
      </c>
      <c r="I47" s="16" t="s">
        <v>23</v>
      </c>
      <c r="J47" s="16" t="s">
        <v>24</v>
      </c>
      <c r="K47" s="16" t="s">
        <v>25</v>
      </c>
      <c r="L47" s="16" t="s">
        <v>23</v>
      </c>
      <c r="M47" s="1" t="s">
        <v>23</v>
      </c>
      <c r="N47" s="45">
        <v>3</v>
      </c>
      <c r="O47" s="46">
        <v>45919</v>
      </c>
      <c r="P47" s="46">
        <v>45924</v>
      </c>
    </row>
    <row r="48" spans="1:16" ht="52.9" customHeight="1" thickBot="1" x14ac:dyDescent="0.3">
      <c r="A48" s="6">
        <v>1</v>
      </c>
      <c r="B48" s="7" t="s">
        <v>71</v>
      </c>
      <c r="C48" s="7" t="s">
        <v>127</v>
      </c>
      <c r="D48" s="7" t="s">
        <v>41</v>
      </c>
      <c r="E48" s="16" t="s">
        <v>164</v>
      </c>
      <c r="F48" s="16" t="s">
        <v>20</v>
      </c>
      <c r="G48" s="16" t="s">
        <v>21</v>
      </c>
      <c r="H48" s="16" t="s">
        <v>22</v>
      </c>
      <c r="I48" s="16" t="s">
        <v>23</v>
      </c>
      <c r="J48" s="16" t="s">
        <v>24</v>
      </c>
      <c r="K48" s="16" t="s">
        <v>25</v>
      </c>
      <c r="L48" s="16" t="s">
        <v>23</v>
      </c>
      <c r="M48" s="1" t="s">
        <v>23</v>
      </c>
      <c r="N48" s="45">
        <v>3</v>
      </c>
      <c r="O48" s="46">
        <v>45919</v>
      </c>
      <c r="P48" s="46">
        <v>45925</v>
      </c>
    </row>
    <row r="49" spans="1:16" ht="52.9" customHeight="1" thickBot="1" x14ac:dyDescent="0.3">
      <c r="A49" s="6">
        <v>1</v>
      </c>
      <c r="B49" s="7" t="s">
        <v>74</v>
      </c>
      <c r="C49" s="7" t="s">
        <v>129</v>
      </c>
      <c r="D49" s="7" t="s">
        <v>41</v>
      </c>
      <c r="E49" s="16" t="s">
        <v>164</v>
      </c>
      <c r="F49" s="16" t="s">
        <v>20</v>
      </c>
      <c r="G49" s="16" t="s">
        <v>21</v>
      </c>
      <c r="H49" s="16" t="s">
        <v>22</v>
      </c>
      <c r="I49" s="16" t="s">
        <v>23</v>
      </c>
      <c r="J49" s="16" t="s">
        <v>24</v>
      </c>
      <c r="K49" s="16" t="s">
        <v>25</v>
      </c>
      <c r="L49" s="16" t="s">
        <v>23</v>
      </c>
      <c r="M49" s="1" t="s">
        <v>23</v>
      </c>
      <c r="N49" s="45">
        <v>4</v>
      </c>
      <c r="O49" s="46">
        <v>45919</v>
      </c>
      <c r="P49" s="46">
        <v>45926</v>
      </c>
    </row>
    <row r="50" spans="1:16" ht="52.9" customHeight="1" thickBot="1" x14ac:dyDescent="0.3">
      <c r="A50" s="6">
        <v>1</v>
      </c>
      <c r="B50" s="7" t="s">
        <v>74</v>
      </c>
      <c r="C50" s="7" t="s">
        <v>130</v>
      </c>
      <c r="D50" s="7" t="s">
        <v>41</v>
      </c>
      <c r="E50" s="16" t="s">
        <v>164</v>
      </c>
      <c r="F50" s="16" t="s">
        <v>20</v>
      </c>
      <c r="G50" s="16" t="s">
        <v>21</v>
      </c>
      <c r="H50" s="16" t="s">
        <v>22</v>
      </c>
      <c r="I50" s="16" t="s">
        <v>23</v>
      </c>
      <c r="J50" s="16" t="s">
        <v>24</v>
      </c>
      <c r="K50" s="16" t="s">
        <v>25</v>
      </c>
      <c r="L50" s="16" t="s">
        <v>23</v>
      </c>
      <c r="M50" s="1" t="s">
        <v>23</v>
      </c>
      <c r="N50" s="45">
        <v>2</v>
      </c>
      <c r="O50" s="46">
        <v>45919</v>
      </c>
      <c r="P50" s="46">
        <v>45927</v>
      </c>
    </row>
    <row r="51" spans="1:16" ht="52.9" customHeight="1" thickBot="1" x14ac:dyDescent="0.3">
      <c r="A51" s="6">
        <v>1</v>
      </c>
      <c r="B51" s="7" t="s">
        <v>74</v>
      </c>
      <c r="C51" s="7" t="s">
        <v>131</v>
      </c>
      <c r="D51" s="7" t="s">
        <v>41</v>
      </c>
      <c r="E51" s="16" t="s">
        <v>164</v>
      </c>
      <c r="F51" s="16" t="s">
        <v>20</v>
      </c>
      <c r="G51" s="16" t="s">
        <v>21</v>
      </c>
      <c r="H51" s="16" t="s">
        <v>22</v>
      </c>
      <c r="I51" s="16" t="s">
        <v>23</v>
      </c>
      <c r="J51" s="16" t="s">
        <v>24</v>
      </c>
      <c r="K51" s="16" t="s">
        <v>25</v>
      </c>
      <c r="L51" s="16" t="s">
        <v>23</v>
      </c>
      <c r="M51" s="1" t="s">
        <v>23</v>
      </c>
      <c r="N51" s="45">
        <v>4</v>
      </c>
      <c r="O51" s="46">
        <v>45920</v>
      </c>
      <c r="P51" s="46">
        <v>45928</v>
      </c>
    </row>
    <row r="52" spans="1:16" ht="52.9" customHeight="1" thickBot="1" x14ac:dyDescent="0.3">
      <c r="A52" s="6">
        <v>1</v>
      </c>
      <c r="B52" s="7" t="s">
        <v>74</v>
      </c>
      <c r="C52" s="7" t="s">
        <v>132</v>
      </c>
      <c r="D52" s="7" t="s">
        <v>41</v>
      </c>
      <c r="E52" s="16" t="s">
        <v>164</v>
      </c>
      <c r="F52" s="16" t="s">
        <v>20</v>
      </c>
      <c r="G52" s="16" t="s">
        <v>21</v>
      </c>
      <c r="H52" s="16" t="s">
        <v>22</v>
      </c>
      <c r="I52" s="16" t="s">
        <v>23</v>
      </c>
      <c r="J52" s="16" t="s">
        <v>24</v>
      </c>
      <c r="K52" s="16" t="s">
        <v>25</v>
      </c>
      <c r="L52" s="16" t="s">
        <v>23</v>
      </c>
      <c r="M52" s="1" t="s">
        <v>23</v>
      </c>
      <c r="N52" s="45">
        <v>4</v>
      </c>
      <c r="O52" s="46">
        <v>45920</v>
      </c>
      <c r="P52" s="46">
        <v>45929</v>
      </c>
    </row>
    <row r="53" spans="1:16" ht="52.9" customHeight="1" thickBot="1" x14ac:dyDescent="0.3">
      <c r="A53" s="6">
        <v>1</v>
      </c>
      <c r="B53" s="7" t="s">
        <v>74</v>
      </c>
      <c r="C53" s="7" t="s">
        <v>133</v>
      </c>
      <c r="D53" s="7" t="s">
        <v>41</v>
      </c>
      <c r="E53" s="16" t="s">
        <v>164</v>
      </c>
      <c r="F53" s="16" t="s">
        <v>20</v>
      </c>
      <c r="G53" s="16" t="s">
        <v>21</v>
      </c>
      <c r="H53" s="16" t="s">
        <v>22</v>
      </c>
      <c r="I53" s="16" t="s">
        <v>23</v>
      </c>
      <c r="J53" s="16" t="s">
        <v>24</v>
      </c>
      <c r="K53" s="16" t="s">
        <v>25</v>
      </c>
      <c r="L53" s="16" t="s">
        <v>23</v>
      </c>
      <c r="M53" s="1" t="s">
        <v>23</v>
      </c>
      <c r="N53" s="45">
        <v>2</v>
      </c>
      <c r="O53" s="46">
        <v>45920</v>
      </c>
      <c r="P53" s="46">
        <v>45930</v>
      </c>
    </row>
    <row r="54" spans="1:16" ht="52.9" customHeight="1" thickBot="1" x14ac:dyDescent="0.3">
      <c r="A54" s="2">
        <v>1</v>
      </c>
      <c r="B54" s="1" t="s">
        <v>66</v>
      </c>
      <c r="C54" s="1" t="s">
        <v>153</v>
      </c>
      <c r="D54" s="1" t="s">
        <v>68</v>
      </c>
      <c r="E54" s="1" t="s">
        <v>37</v>
      </c>
      <c r="F54" s="1" t="s">
        <v>38</v>
      </c>
      <c r="G54" s="1" t="s">
        <v>38</v>
      </c>
      <c r="H54" s="1" t="s">
        <v>38</v>
      </c>
      <c r="I54" s="1" t="s">
        <v>38</v>
      </c>
      <c r="J54" s="1" t="s">
        <v>38</v>
      </c>
      <c r="K54" s="1" t="s">
        <v>38</v>
      </c>
      <c r="L54" s="1" t="s">
        <v>38</v>
      </c>
      <c r="M54" s="1" t="s">
        <v>38</v>
      </c>
      <c r="N54" s="3" t="s">
        <v>39</v>
      </c>
      <c r="O54" s="3" t="s">
        <v>39</v>
      </c>
      <c r="P54" s="3" t="s">
        <v>39</v>
      </c>
    </row>
    <row r="55" spans="1:16" ht="52.9" customHeight="1" thickBot="1" x14ac:dyDescent="0.3">
      <c r="A55" s="2">
        <v>1</v>
      </c>
      <c r="B55" s="1" t="s">
        <v>66</v>
      </c>
      <c r="C55" s="1" t="s">
        <v>154</v>
      </c>
      <c r="D55" s="1" t="s">
        <v>46</v>
      </c>
      <c r="E55" s="1" t="s">
        <v>37</v>
      </c>
      <c r="F55" s="1" t="s">
        <v>38</v>
      </c>
      <c r="G55" s="1" t="s">
        <v>38</v>
      </c>
      <c r="H55" s="1" t="s">
        <v>38</v>
      </c>
      <c r="I55" s="1" t="s">
        <v>38</v>
      </c>
      <c r="J55" s="1" t="s">
        <v>38</v>
      </c>
      <c r="K55" s="1" t="s">
        <v>38</v>
      </c>
      <c r="L55" s="1" t="s">
        <v>38</v>
      </c>
      <c r="M55" s="1" t="s">
        <v>38</v>
      </c>
      <c r="N55" s="3" t="s">
        <v>39</v>
      </c>
      <c r="O55" s="3" t="s">
        <v>39</v>
      </c>
      <c r="P55" s="3" t="s">
        <v>39</v>
      </c>
    </row>
    <row r="56" spans="1:16" ht="52.9" customHeight="1" thickBot="1" x14ac:dyDescent="0.3">
      <c r="A56" s="2">
        <v>1</v>
      </c>
      <c r="B56" s="1" t="s">
        <v>82</v>
      </c>
      <c r="C56" s="1" t="s">
        <v>155</v>
      </c>
      <c r="D56" s="1" t="s">
        <v>18</v>
      </c>
      <c r="E56" s="1" t="s">
        <v>37</v>
      </c>
      <c r="F56" s="1" t="s">
        <v>38</v>
      </c>
      <c r="G56" s="1" t="s">
        <v>38</v>
      </c>
      <c r="H56" s="1" t="s">
        <v>38</v>
      </c>
      <c r="I56" s="1" t="s">
        <v>38</v>
      </c>
      <c r="J56" s="1" t="s">
        <v>38</v>
      </c>
      <c r="K56" s="1" t="s">
        <v>38</v>
      </c>
      <c r="L56" s="1" t="s">
        <v>38</v>
      </c>
      <c r="M56" s="1" t="s">
        <v>38</v>
      </c>
      <c r="N56" s="3" t="s">
        <v>39</v>
      </c>
      <c r="O56" s="3" t="s">
        <v>39</v>
      </c>
      <c r="P56" s="3" t="s">
        <v>39</v>
      </c>
    </row>
    <row r="57" spans="1:16" ht="52.9" customHeight="1" thickBot="1" x14ac:dyDescent="0.3">
      <c r="A57" s="2">
        <v>1</v>
      </c>
      <c r="B57" s="1" t="s">
        <v>82</v>
      </c>
      <c r="C57" s="1" t="s">
        <v>156</v>
      </c>
      <c r="D57" s="1" t="s">
        <v>18</v>
      </c>
      <c r="E57" s="1" t="s">
        <v>37</v>
      </c>
      <c r="F57" s="1" t="s">
        <v>38</v>
      </c>
      <c r="G57" s="1" t="s">
        <v>38</v>
      </c>
      <c r="H57" s="1" t="s">
        <v>38</v>
      </c>
      <c r="I57" s="1" t="s">
        <v>38</v>
      </c>
      <c r="J57" s="1" t="s">
        <v>38</v>
      </c>
      <c r="K57" s="1" t="s">
        <v>38</v>
      </c>
      <c r="L57" s="1" t="s">
        <v>38</v>
      </c>
      <c r="M57" s="1" t="s">
        <v>38</v>
      </c>
      <c r="N57" s="3" t="s">
        <v>39</v>
      </c>
      <c r="O57" s="3" t="s">
        <v>39</v>
      </c>
      <c r="P57" s="3" t="s">
        <v>39</v>
      </c>
    </row>
    <row r="58" spans="1:16" ht="52.9" customHeight="1" thickBot="1" x14ac:dyDescent="0.3">
      <c r="A58" s="2">
        <v>1</v>
      </c>
      <c r="B58" s="1" t="s">
        <v>82</v>
      </c>
      <c r="C58" s="1" t="s">
        <v>157</v>
      </c>
      <c r="D58" s="1" t="s">
        <v>68</v>
      </c>
      <c r="E58" s="1" t="s">
        <v>37</v>
      </c>
      <c r="F58" s="1" t="s">
        <v>38</v>
      </c>
      <c r="G58" s="1" t="s">
        <v>38</v>
      </c>
      <c r="H58" s="1" t="s">
        <v>38</v>
      </c>
      <c r="I58" s="1" t="s">
        <v>38</v>
      </c>
      <c r="J58" s="1" t="s">
        <v>38</v>
      </c>
      <c r="K58" s="1" t="s">
        <v>38</v>
      </c>
      <c r="L58" s="1" t="s">
        <v>38</v>
      </c>
      <c r="M58" s="1" t="s">
        <v>38</v>
      </c>
      <c r="N58" s="3" t="s">
        <v>39</v>
      </c>
      <c r="O58" s="3" t="s">
        <v>39</v>
      </c>
      <c r="P58" s="3" t="s">
        <v>39</v>
      </c>
    </row>
    <row r="59" spans="1:16" ht="52.9" customHeight="1" thickBot="1" x14ac:dyDescent="0.3">
      <c r="A59" s="2">
        <v>1</v>
      </c>
      <c r="B59" s="1" t="s">
        <v>82</v>
      </c>
      <c r="C59" s="1" t="s">
        <v>158</v>
      </c>
      <c r="D59" s="1" t="s">
        <v>46</v>
      </c>
      <c r="E59" s="1" t="s">
        <v>37</v>
      </c>
      <c r="F59" s="1" t="s">
        <v>38</v>
      </c>
      <c r="G59" s="1" t="s">
        <v>38</v>
      </c>
      <c r="H59" s="1" t="s">
        <v>38</v>
      </c>
      <c r="I59" s="1" t="s">
        <v>38</v>
      </c>
      <c r="J59" s="1" t="s">
        <v>38</v>
      </c>
      <c r="K59" s="1" t="s">
        <v>38</v>
      </c>
      <c r="L59" s="1" t="s">
        <v>38</v>
      </c>
      <c r="M59" s="1" t="s">
        <v>38</v>
      </c>
      <c r="N59" s="3" t="s">
        <v>39</v>
      </c>
      <c r="O59" s="3" t="s">
        <v>39</v>
      </c>
      <c r="P59" s="3" t="s">
        <v>39</v>
      </c>
    </row>
    <row r="60" spans="1:16" ht="26.25" thickBot="1" x14ac:dyDescent="0.3">
      <c r="A60" s="2">
        <v>1</v>
      </c>
      <c r="B60" s="1" t="s">
        <v>82</v>
      </c>
      <c r="C60" s="1" t="s">
        <v>159</v>
      </c>
      <c r="D60" s="1" t="s">
        <v>68</v>
      </c>
      <c r="E60" s="1" t="s">
        <v>37</v>
      </c>
      <c r="F60" s="1" t="s">
        <v>38</v>
      </c>
      <c r="G60" s="1" t="s">
        <v>38</v>
      </c>
      <c r="H60" s="1" t="s">
        <v>38</v>
      </c>
      <c r="I60" s="1" t="s">
        <v>38</v>
      </c>
      <c r="J60" s="1" t="s">
        <v>38</v>
      </c>
      <c r="K60" s="1" t="s">
        <v>38</v>
      </c>
      <c r="L60" s="1" t="s">
        <v>38</v>
      </c>
      <c r="M60" s="1" t="s">
        <v>38</v>
      </c>
      <c r="N60" s="3" t="s">
        <v>39</v>
      </c>
      <c r="O60" s="3" t="s">
        <v>39</v>
      </c>
      <c r="P60" s="3" t="s">
        <v>39</v>
      </c>
    </row>
    <row r="61" spans="1:16" ht="26.25" thickBot="1" x14ac:dyDescent="0.3">
      <c r="A61" s="2">
        <v>1</v>
      </c>
      <c r="B61" s="1" t="s">
        <v>88</v>
      </c>
      <c r="C61" s="1" t="s">
        <v>160</v>
      </c>
      <c r="D61" s="1" t="s">
        <v>41</v>
      </c>
      <c r="E61" s="1" t="s">
        <v>37</v>
      </c>
      <c r="F61" s="1" t="s">
        <v>38</v>
      </c>
      <c r="G61" s="1" t="s">
        <v>38</v>
      </c>
      <c r="H61" s="1" t="s">
        <v>38</v>
      </c>
      <c r="I61" s="1" t="s">
        <v>38</v>
      </c>
      <c r="J61" s="1" t="s">
        <v>38</v>
      </c>
      <c r="K61" s="1" t="s">
        <v>38</v>
      </c>
      <c r="L61" s="1" t="s">
        <v>38</v>
      </c>
      <c r="M61" s="1" t="s">
        <v>38</v>
      </c>
      <c r="N61" s="3" t="s">
        <v>39</v>
      </c>
      <c r="O61" s="3" t="s">
        <v>39</v>
      </c>
      <c r="P61" s="3" t="s">
        <v>39</v>
      </c>
    </row>
    <row r="62" spans="1:16" ht="39" thickBot="1" x14ac:dyDescent="0.3">
      <c r="A62" s="2">
        <v>1</v>
      </c>
      <c r="B62" s="1" t="s">
        <v>88</v>
      </c>
      <c r="C62" s="1" t="s">
        <v>161</v>
      </c>
      <c r="D62" s="1" t="s">
        <v>46</v>
      </c>
      <c r="E62" s="1" t="s">
        <v>37</v>
      </c>
      <c r="F62" s="1" t="s">
        <v>38</v>
      </c>
      <c r="G62" s="1" t="s">
        <v>38</v>
      </c>
      <c r="H62" s="1" t="s">
        <v>38</v>
      </c>
      <c r="I62" s="1" t="s">
        <v>38</v>
      </c>
      <c r="J62" s="1" t="s">
        <v>38</v>
      </c>
      <c r="K62" s="1" t="s">
        <v>38</v>
      </c>
      <c r="L62" s="1" t="s">
        <v>38</v>
      </c>
      <c r="M62" s="1" t="s">
        <v>38</v>
      </c>
      <c r="N62" s="3" t="s">
        <v>39</v>
      </c>
      <c r="O62" s="3" t="s">
        <v>39</v>
      </c>
      <c r="P62" s="3" t="s">
        <v>39</v>
      </c>
    </row>
    <row r="63" spans="1:16" ht="26.25" thickBot="1" x14ac:dyDescent="0.3">
      <c r="A63" s="2">
        <v>1</v>
      </c>
      <c r="B63" s="1" t="s">
        <v>66</v>
      </c>
      <c r="C63" s="1" t="s">
        <v>162</v>
      </c>
      <c r="D63" s="1" t="s">
        <v>68</v>
      </c>
      <c r="E63" s="1" t="s">
        <v>37</v>
      </c>
      <c r="F63" s="1" t="s">
        <v>38</v>
      </c>
      <c r="G63" s="1" t="s">
        <v>38</v>
      </c>
      <c r="H63" s="1" t="s">
        <v>38</v>
      </c>
      <c r="I63" s="1" t="s">
        <v>38</v>
      </c>
      <c r="J63" s="1" t="s">
        <v>38</v>
      </c>
      <c r="K63" s="1" t="s">
        <v>38</v>
      </c>
      <c r="L63" s="1" t="s">
        <v>38</v>
      </c>
      <c r="M63" s="1" t="s">
        <v>38</v>
      </c>
      <c r="N63" s="3" t="s">
        <v>39</v>
      </c>
      <c r="O63" s="3" t="s">
        <v>39</v>
      </c>
      <c r="P63" s="3" t="s">
        <v>39</v>
      </c>
    </row>
    <row r="64" spans="1:16" ht="39" thickBot="1" x14ac:dyDescent="0.3">
      <c r="A64" s="2">
        <v>1</v>
      </c>
      <c r="B64" s="1" t="s">
        <v>16</v>
      </c>
      <c r="C64" s="1" t="s">
        <v>163</v>
      </c>
      <c r="D64" s="1" t="s">
        <v>68</v>
      </c>
      <c r="E64" s="1" t="s">
        <v>37</v>
      </c>
      <c r="F64" s="1" t="s">
        <v>38</v>
      </c>
      <c r="G64" s="1" t="s">
        <v>38</v>
      </c>
      <c r="H64" s="1" t="s">
        <v>38</v>
      </c>
      <c r="I64" s="1" t="s">
        <v>38</v>
      </c>
      <c r="J64" s="1" t="s">
        <v>38</v>
      </c>
      <c r="K64" s="1" t="s">
        <v>38</v>
      </c>
      <c r="L64" s="1" t="s">
        <v>38</v>
      </c>
      <c r="M64" s="1" t="s">
        <v>38</v>
      </c>
      <c r="N64" s="3" t="s">
        <v>39</v>
      </c>
      <c r="O64" s="3" t="s">
        <v>39</v>
      </c>
      <c r="P64" s="3" t="s">
        <v>39</v>
      </c>
    </row>
    <row r="73" spans="2:2" x14ac:dyDescent="0.25">
      <c r="B73" s="5" t="s">
        <v>93</v>
      </c>
    </row>
    <row r="74" spans="2:2" x14ac:dyDescent="0.25">
      <c r="B74" s="5" t="s">
        <v>25</v>
      </c>
    </row>
    <row r="75" spans="2:2" x14ac:dyDescent="0.25">
      <c r="B75" s="5" t="s">
        <v>24</v>
      </c>
    </row>
    <row r="76" spans="2:2" x14ac:dyDescent="0.25">
      <c r="B76" s="5" t="s">
        <v>23</v>
      </c>
    </row>
    <row r="77" spans="2:2" x14ac:dyDescent="0.25">
      <c r="B77" s="5" t="s">
        <v>22</v>
      </c>
    </row>
    <row r="78" spans="2:2" x14ac:dyDescent="0.25">
      <c r="B78" s="5" t="s">
        <v>21</v>
      </c>
    </row>
    <row r="79" spans="2:2" x14ac:dyDescent="0.25">
      <c r="B79" s="5" t="s">
        <v>20</v>
      </c>
    </row>
  </sheetData>
  <mergeCells count="16">
    <mergeCell ref="P7:P8"/>
    <mergeCell ref="K7:K8"/>
    <mergeCell ref="L7:L8"/>
    <mergeCell ref="M7:M8"/>
    <mergeCell ref="N7:N8"/>
    <mergeCell ref="O7:O8"/>
    <mergeCell ref="F7:F8"/>
    <mergeCell ref="G7:G8"/>
    <mergeCell ref="H7:H8"/>
    <mergeCell ref="I7:I8"/>
    <mergeCell ref="J7:J8"/>
    <mergeCell ref="A7:A8"/>
    <mergeCell ref="B7:B8"/>
    <mergeCell ref="C7:C8"/>
    <mergeCell ref="D7:D8"/>
    <mergeCell ref="E7:E8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590-180D-444B-9D60-3E95D497CFD0}">
  <dimension ref="A3:AN125"/>
  <sheetViews>
    <sheetView topLeftCell="C12" zoomScale="73" zoomScaleNormal="73" workbookViewId="0">
      <selection activeCell="P27" sqref="P27"/>
    </sheetView>
  </sheetViews>
  <sheetFormatPr baseColWidth="10" defaultColWidth="10.7109375" defaultRowHeight="15" x14ac:dyDescent="0.25"/>
  <cols>
    <col min="2" max="2" width="13.140625" customWidth="1"/>
    <col min="3" max="3" width="41" customWidth="1"/>
    <col min="6" max="6" width="17.28515625" customWidth="1"/>
    <col min="7" max="7" width="17" customWidth="1"/>
    <col min="8" max="8" width="17.140625" customWidth="1"/>
    <col min="9" max="9" width="18.140625" customWidth="1"/>
    <col min="10" max="10" width="12.7109375" customWidth="1"/>
    <col min="12" max="12" width="13" customWidth="1"/>
    <col min="14" max="14" width="5.42578125" customWidth="1"/>
    <col min="15" max="24" width="5.7109375" customWidth="1"/>
    <col min="25" max="27" width="7.5703125" customWidth="1"/>
  </cols>
  <sheetData>
    <row r="3" spans="1:24" ht="14.45" customHeight="1" x14ac:dyDescent="0.25">
      <c r="N3" s="11"/>
    </row>
    <row r="4" spans="1:24" ht="14.45" customHeight="1" x14ac:dyDescent="0.25">
      <c r="N4" s="33">
        <v>45813</v>
      </c>
      <c r="O4" s="33">
        <v>45814</v>
      </c>
      <c r="P4" s="33">
        <v>45815</v>
      </c>
      <c r="Q4" s="33">
        <v>45816</v>
      </c>
      <c r="R4" s="33">
        <v>45817</v>
      </c>
      <c r="S4" s="33">
        <v>45818</v>
      </c>
      <c r="T4" s="33">
        <v>45819</v>
      </c>
      <c r="U4" s="33">
        <v>45820</v>
      </c>
      <c r="V4" s="33">
        <v>45821</v>
      </c>
      <c r="W4" s="33">
        <v>45822</v>
      </c>
      <c r="X4" s="33">
        <v>45823</v>
      </c>
    </row>
    <row r="5" spans="1:24" ht="14.45" customHeight="1" x14ac:dyDescent="0.25"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2" customHeight="1" x14ac:dyDescent="0.25"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8.600000000000001" customHeight="1" x14ac:dyDescent="0.25">
      <c r="K7" s="38" t="s">
        <v>94</v>
      </c>
      <c r="L7" s="38"/>
      <c r="M7" s="38"/>
      <c r="N7" s="12">
        <v>11</v>
      </c>
      <c r="O7" s="12">
        <v>11</v>
      </c>
      <c r="P7" s="12">
        <v>11</v>
      </c>
      <c r="Q7" s="12">
        <v>11</v>
      </c>
      <c r="R7" s="12">
        <v>11</v>
      </c>
      <c r="S7" s="12">
        <v>10</v>
      </c>
      <c r="T7" s="12">
        <v>8</v>
      </c>
      <c r="U7" s="12">
        <v>7</v>
      </c>
      <c r="V7" s="12">
        <v>5</v>
      </c>
      <c r="W7" s="12">
        <v>3</v>
      </c>
      <c r="X7" s="12">
        <v>1</v>
      </c>
    </row>
    <row r="8" spans="1:24" ht="15.75" thickBot="1" x14ac:dyDescent="0.3">
      <c r="K8" s="31" t="s">
        <v>95</v>
      </c>
      <c r="L8" s="31"/>
      <c r="M8" s="32"/>
      <c r="N8" s="13">
        <v>41</v>
      </c>
      <c r="O8" s="13">
        <v>41</v>
      </c>
      <c r="P8" s="13">
        <v>41</v>
      </c>
      <c r="Q8" s="13">
        <v>41</v>
      </c>
      <c r="R8" s="13">
        <v>41</v>
      </c>
      <c r="S8" s="13">
        <v>38</v>
      </c>
      <c r="T8" s="13">
        <v>32</v>
      </c>
      <c r="U8" s="13">
        <v>28</v>
      </c>
      <c r="V8" s="13">
        <v>19</v>
      </c>
      <c r="W8" s="13">
        <v>11</v>
      </c>
      <c r="X8" s="13">
        <v>3</v>
      </c>
    </row>
    <row r="9" spans="1:24" x14ac:dyDescent="0.25">
      <c r="A9" s="29" t="s">
        <v>96</v>
      </c>
      <c r="B9" s="29" t="s">
        <v>1</v>
      </c>
      <c r="C9" s="29" t="s">
        <v>2</v>
      </c>
      <c r="D9" s="29" t="s">
        <v>3</v>
      </c>
      <c r="E9" s="29" t="s">
        <v>4</v>
      </c>
      <c r="F9" s="34" t="s">
        <v>5</v>
      </c>
      <c r="G9" s="34" t="s">
        <v>6</v>
      </c>
      <c r="H9" s="34" t="s">
        <v>7</v>
      </c>
      <c r="I9" s="34" t="s">
        <v>8</v>
      </c>
      <c r="J9" s="29" t="s">
        <v>9</v>
      </c>
      <c r="K9" s="29" t="s">
        <v>10</v>
      </c>
      <c r="L9" s="29" t="s">
        <v>11</v>
      </c>
      <c r="M9" s="29" t="s">
        <v>12</v>
      </c>
      <c r="N9" s="36" t="s">
        <v>97</v>
      </c>
      <c r="O9" s="36"/>
      <c r="P9" s="36"/>
      <c r="Q9" s="36"/>
      <c r="R9" s="36"/>
      <c r="S9" s="36"/>
      <c r="T9" s="36"/>
      <c r="U9" s="36"/>
      <c r="V9" s="36"/>
      <c r="W9" s="36"/>
      <c r="X9" s="36"/>
    </row>
    <row r="10" spans="1:24" ht="18" customHeight="1" x14ac:dyDescent="0.25">
      <c r="A10" s="30"/>
      <c r="B10" s="30"/>
      <c r="C10" s="30"/>
      <c r="D10" s="30"/>
      <c r="E10" s="30"/>
      <c r="F10" s="35"/>
      <c r="G10" s="35"/>
      <c r="H10" s="35"/>
      <c r="I10" s="35"/>
      <c r="J10" s="30"/>
      <c r="K10" s="30"/>
      <c r="L10" s="30"/>
      <c r="M10" s="30"/>
      <c r="N10" s="37"/>
      <c r="O10" s="37"/>
      <c r="P10" s="37"/>
      <c r="Q10" s="37"/>
      <c r="R10" s="37"/>
      <c r="S10" s="36"/>
      <c r="T10" s="36"/>
      <c r="U10" s="36"/>
      <c r="V10" s="36"/>
      <c r="W10" s="36"/>
      <c r="X10" s="36"/>
    </row>
    <row r="11" spans="1:24" ht="24.6" customHeight="1" x14ac:dyDescent="0.25">
      <c r="A11" s="15">
        <v>1</v>
      </c>
      <c r="B11" s="19" t="s">
        <v>16</v>
      </c>
      <c r="C11" s="16" t="s">
        <v>17</v>
      </c>
      <c r="D11" s="20" t="s">
        <v>18</v>
      </c>
      <c r="E11" s="16" t="s">
        <v>19</v>
      </c>
      <c r="F11" s="16" t="s">
        <v>20</v>
      </c>
      <c r="G11" s="16" t="s">
        <v>21</v>
      </c>
      <c r="H11" s="16" t="s">
        <v>22</v>
      </c>
      <c r="I11" s="16" t="s">
        <v>23</v>
      </c>
      <c r="J11" s="16" t="s">
        <v>24</v>
      </c>
      <c r="K11" s="16" t="s">
        <v>25</v>
      </c>
      <c r="L11" s="16" t="s">
        <v>23</v>
      </c>
      <c r="M11" s="17" t="s">
        <v>93</v>
      </c>
      <c r="N11" s="18">
        <v>3</v>
      </c>
      <c r="O11" s="18">
        <v>3</v>
      </c>
      <c r="P11" s="18">
        <v>3</v>
      </c>
      <c r="Q11" s="18">
        <v>3</v>
      </c>
      <c r="R11" s="18">
        <v>3</v>
      </c>
      <c r="S11" s="14"/>
      <c r="T11" s="8"/>
      <c r="U11" s="8"/>
      <c r="V11" s="8"/>
      <c r="W11" s="8"/>
      <c r="X11" s="8"/>
    </row>
    <row r="12" spans="1:24" ht="24.6" customHeight="1" x14ac:dyDescent="0.25">
      <c r="A12" s="15">
        <v>1</v>
      </c>
      <c r="B12" s="19" t="s">
        <v>16</v>
      </c>
      <c r="C12" s="16" t="s">
        <v>26</v>
      </c>
      <c r="D12" s="20" t="s">
        <v>18</v>
      </c>
      <c r="E12" s="16" t="s">
        <v>19</v>
      </c>
      <c r="F12" s="16" t="s">
        <v>20</v>
      </c>
      <c r="G12" s="16" t="s">
        <v>21</v>
      </c>
      <c r="H12" s="16" t="s">
        <v>22</v>
      </c>
      <c r="I12" s="16" t="s">
        <v>23</v>
      </c>
      <c r="J12" s="16" t="s">
        <v>24</v>
      </c>
      <c r="K12" s="16" t="s">
        <v>25</v>
      </c>
      <c r="L12" s="16" t="s">
        <v>23</v>
      </c>
      <c r="M12" s="17" t="s">
        <v>93</v>
      </c>
      <c r="N12" s="18">
        <v>3</v>
      </c>
      <c r="O12" s="18">
        <v>3</v>
      </c>
      <c r="P12" s="18">
        <v>3</v>
      </c>
      <c r="Q12" s="18">
        <v>3</v>
      </c>
      <c r="R12" s="18">
        <v>3</v>
      </c>
      <c r="S12" s="14">
        <v>3</v>
      </c>
      <c r="T12" s="8"/>
      <c r="U12" s="8"/>
      <c r="V12" s="8"/>
      <c r="W12" s="8"/>
      <c r="X12" s="8"/>
    </row>
    <row r="13" spans="1:24" ht="24.6" customHeight="1" x14ac:dyDescent="0.25">
      <c r="A13" s="15">
        <v>1</v>
      </c>
      <c r="B13" s="19" t="s">
        <v>16</v>
      </c>
      <c r="C13" s="16" t="s">
        <v>27</v>
      </c>
      <c r="D13" s="20" t="s">
        <v>18</v>
      </c>
      <c r="E13" s="16" t="s">
        <v>19</v>
      </c>
      <c r="F13" s="16" t="s">
        <v>20</v>
      </c>
      <c r="G13" s="16" t="s">
        <v>21</v>
      </c>
      <c r="H13" s="16" t="s">
        <v>22</v>
      </c>
      <c r="I13" s="16" t="s">
        <v>23</v>
      </c>
      <c r="J13" s="16" t="s">
        <v>24</v>
      </c>
      <c r="K13" s="16" t="s">
        <v>25</v>
      </c>
      <c r="L13" s="16" t="s">
        <v>23</v>
      </c>
      <c r="M13" s="17" t="s">
        <v>93</v>
      </c>
      <c r="N13" s="18">
        <v>3</v>
      </c>
      <c r="O13" s="18">
        <v>3</v>
      </c>
      <c r="P13" s="18">
        <v>3</v>
      </c>
      <c r="Q13" s="18">
        <v>3</v>
      </c>
      <c r="R13" s="18">
        <v>3</v>
      </c>
      <c r="S13" s="14">
        <v>3</v>
      </c>
      <c r="T13" s="8"/>
      <c r="U13" s="8"/>
      <c r="V13" s="8"/>
      <c r="W13" s="8"/>
      <c r="X13" s="8"/>
    </row>
    <row r="14" spans="1:24" ht="24.6" customHeight="1" x14ac:dyDescent="0.25">
      <c r="A14" s="15">
        <v>1</v>
      </c>
      <c r="B14" s="19" t="s">
        <v>16</v>
      </c>
      <c r="C14" s="16" t="s">
        <v>28</v>
      </c>
      <c r="D14" s="20" t="s">
        <v>18</v>
      </c>
      <c r="E14" s="16" t="s">
        <v>19</v>
      </c>
      <c r="F14" s="16" t="s">
        <v>20</v>
      </c>
      <c r="G14" s="16" t="s">
        <v>21</v>
      </c>
      <c r="H14" s="16" t="s">
        <v>22</v>
      </c>
      <c r="I14" s="16" t="s">
        <v>23</v>
      </c>
      <c r="J14" s="16" t="s">
        <v>24</v>
      </c>
      <c r="K14" s="16" t="s">
        <v>25</v>
      </c>
      <c r="L14" s="16" t="s">
        <v>23</v>
      </c>
      <c r="M14" s="17" t="s">
        <v>93</v>
      </c>
      <c r="N14" s="18">
        <v>4</v>
      </c>
      <c r="O14" s="18">
        <v>4</v>
      </c>
      <c r="P14" s="18">
        <v>4</v>
      </c>
      <c r="Q14" s="18">
        <v>4</v>
      </c>
      <c r="R14" s="18">
        <v>4</v>
      </c>
      <c r="S14" s="18">
        <v>4</v>
      </c>
      <c r="T14" s="8">
        <v>4</v>
      </c>
      <c r="U14" s="8"/>
      <c r="V14" s="8"/>
      <c r="W14" s="8"/>
      <c r="X14" s="8"/>
    </row>
    <row r="15" spans="1:24" ht="24.6" customHeight="1" x14ac:dyDescent="0.25">
      <c r="A15" s="15">
        <v>1</v>
      </c>
      <c r="B15" s="19" t="s">
        <v>16</v>
      </c>
      <c r="C15" s="16" t="s">
        <v>29</v>
      </c>
      <c r="D15" s="20" t="s">
        <v>18</v>
      </c>
      <c r="E15" s="16" t="s">
        <v>19</v>
      </c>
      <c r="F15" s="16" t="s">
        <v>20</v>
      </c>
      <c r="G15" s="16" t="s">
        <v>21</v>
      </c>
      <c r="H15" s="16" t="s">
        <v>22</v>
      </c>
      <c r="I15" s="16" t="s">
        <v>23</v>
      </c>
      <c r="J15" s="16" t="s">
        <v>24</v>
      </c>
      <c r="K15" s="16" t="s">
        <v>25</v>
      </c>
      <c r="L15" s="16" t="s">
        <v>23</v>
      </c>
      <c r="M15" s="17" t="s">
        <v>93</v>
      </c>
      <c r="N15" s="18">
        <v>4</v>
      </c>
      <c r="O15" s="18">
        <v>4</v>
      </c>
      <c r="P15" s="18">
        <v>4</v>
      </c>
      <c r="Q15" s="18">
        <v>4</v>
      </c>
      <c r="R15" s="18">
        <v>4</v>
      </c>
      <c r="S15" s="18">
        <v>4</v>
      </c>
      <c r="T15" s="8">
        <v>4</v>
      </c>
      <c r="U15" s="8">
        <v>4</v>
      </c>
      <c r="V15" s="8"/>
      <c r="W15" s="8"/>
      <c r="X15" s="8"/>
    </row>
    <row r="16" spans="1:24" ht="24.6" customHeight="1" x14ac:dyDescent="0.25">
      <c r="A16" s="15">
        <v>1</v>
      </c>
      <c r="B16" s="19" t="s">
        <v>16</v>
      </c>
      <c r="C16" s="16" t="s">
        <v>30</v>
      </c>
      <c r="D16" s="20" t="s">
        <v>18</v>
      </c>
      <c r="E16" s="16" t="s">
        <v>19</v>
      </c>
      <c r="F16" s="16" t="s">
        <v>20</v>
      </c>
      <c r="G16" s="16" t="s">
        <v>21</v>
      </c>
      <c r="H16" s="16" t="s">
        <v>22</v>
      </c>
      <c r="I16" s="16" t="s">
        <v>23</v>
      </c>
      <c r="J16" s="16" t="s">
        <v>24</v>
      </c>
      <c r="K16" s="16" t="s">
        <v>25</v>
      </c>
      <c r="L16" s="16" t="s">
        <v>23</v>
      </c>
      <c r="M16" s="17" t="s">
        <v>93</v>
      </c>
      <c r="N16" s="18">
        <v>5</v>
      </c>
      <c r="O16" s="18">
        <v>5</v>
      </c>
      <c r="P16" s="18">
        <v>5</v>
      </c>
      <c r="Q16" s="18">
        <v>5</v>
      </c>
      <c r="R16" s="18">
        <v>5</v>
      </c>
      <c r="S16" s="18">
        <v>5</v>
      </c>
      <c r="T16" s="8">
        <v>5</v>
      </c>
      <c r="U16" s="8">
        <v>5</v>
      </c>
      <c r="V16" s="8"/>
      <c r="W16" s="8"/>
      <c r="X16" s="8"/>
    </row>
    <row r="17" spans="1:24" ht="24.6" customHeight="1" x14ac:dyDescent="0.25">
      <c r="A17" s="15">
        <v>1</v>
      </c>
      <c r="B17" s="19" t="s">
        <v>16</v>
      </c>
      <c r="C17" s="16" t="s">
        <v>31</v>
      </c>
      <c r="D17" s="20" t="s">
        <v>18</v>
      </c>
      <c r="E17" s="16" t="s">
        <v>19</v>
      </c>
      <c r="F17" s="16" t="s">
        <v>20</v>
      </c>
      <c r="G17" s="16" t="s">
        <v>21</v>
      </c>
      <c r="H17" s="16" t="s">
        <v>22</v>
      </c>
      <c r="I17" s="16" t="s">
        <v>23</v>
      </c>
      <c r="J17" s="16" t="s">
        <v>24</v>
      </c>
      <c r="K17" s="16" t="s">
        <v>25</v>
      </c>
      <c r="L17" s="16" t="s">
        <v>23</v>
      </c>
      <c r="M17" s="17" t="s">
        <v>93</v>
      </c>
      <c r="N17" s="18">
        <v>4</v>
      </c>
      <c r="O17" s="18">
        <v>4</v>
      </c>
      <c r="P17" s="18">
        <v>4</v>
      </c>
      <c r="Q17" s="18">
        <v>4</v>
      </c>
      <c r="R17" s="18">
        <v>4</v>
      </c>
      <c r="S17" s="18">
        <v>4</v>
      </c>
      <c r="T17" s="8">
        <v>4</v>
      </c>
      <c r="U17" s="8">
        <v>4</v>
      </c>
      <c r="V17" s="8">
        <v>4</v>
      </c>
      <c r="W17" s="8"/>
      <c r="X17" s="8"/>
    </row>
    <row r="18" spans="1:24" ht="24.6" customHeight="1" x14ac:dyDescent="0.25">
      <c r="A18" s="15">
        <v>1</v>
      </c>
      <c r="B18" s="19" t="s">
        <v>16</v>
      </c>
      <c r="C18" s="16" t="s">
        <v>32</v>
      </c>
      <c r="D18" s="20" t="s">
        <v>18</v>
      </c>
      <c r="E18" s="16" t="s">
        <v>19</v>
      </c>
      <c r="F18" s="16" t="s">
        <v>20</v>
      </c>
      <c r="G18" s="16" t="s">
        <v>21</v>
      </c>
      <c r="H18" s="16" t="s">
        <v>22</v>
      </c>
      <c r="I18" s="16" t="s">
        <v>23</v>
      </c>
      <c r="J18" s="16" t="s">
        <v>24</v>
      </c>
      <c r="K18" s="16" t="s">
        <v>25</v>
      </c>
      <c r="L18" s="16" t="s">
        <v>23</v>
      </c>
      <c r="M18" s="17" t="s">
        <v>93</v>
      </c>
      <c r="N18" s="18">
        <v>4</v>
      </c>
      <c r="O18" s="18">
        <v>4</v>
      </c>
      <c r="P18" s="18">
        <v>4</v>
      </c>
      <c r="Q18" s="18">
        <v>4</v>
      </c>
      <c r="R18" s="18">
        <v>4</v>
      </c>
      <c r="S18" s="18">
        <v>4</v>
      </c>
      <c r="T18" s="8">
        <v>4</v>
      </c>
      <c r="U18" s="8">
        <v>4</v>
      </c>
      <c r="V18" s="8">
        <v>4</v>
      </c>
      <c r="W18" s="8"/>
      <c r="X18" s="8"/>
    </row>
    <row r="19" spans="1:24" ht="24.6" customHeight="1" x14ac:dyDescent="0.25">
      <c r="A19" s="15">
        <v>1</v>
      </c>
      <c r="B19" s="19" t="s">
        <v>16</v>
      </c>
      <c r="C19" s="16" t="s">
        <v>33</v>
      </c>
      <c r="D19" s="20" t="s">
        <v>18</v>
      </c>
      <c r="E19" s="16" t="s">
        <v>19</v>
      </c>
      <c r="F19" s="16" t="s">
        <v>20</v>
      </c>
      <c r="G19" s="16" t="s">
        <v>21</v>
      </c>
      <c r="H19" s="16" t="s">
        <v>22</v>
      </c>
      <c r="I19" s="16" t="s">
        <v>23</v>
      </c>
      <c r="J19" s="16" t="s">
        <v>24</v>
      </c>
      <c r="K19" s="16" t="s">
        <v>25</v>
      </c>
      <c r="L19" s="16" t="s">
        <v>23</v>
      </c>
      <c r="M19" s="17" t="s">
        <v>93</v>
      </c>
      <c r="N19" s="18">
        <v>5</v>
      </c>
      <c r="O19" s="18">
        <v>5</v>
      </c>
      <c r="P19" s="18">
        <v>5</v>
      </c>
      <c r="Q19" s="18">
        <v>5</v>
      </c>
      <c r="R19" s="18">
        <v>5</v>
      </c>
      <c r="S19" s="18">
        <v>5</v>
      </c>
      <c r="T19" s="8">
        <v>5</v>
      </c>
      <c r="U19" s="8">
        <v>5</v>
      </c>
      <c r="V19" s="8">
        <v>5</v>
      </c>
      <c r="W19" s="8">
        <v>5</v>
      </c>
      <c r="X19" s="8"/>
    </row>
    <row r="20" spans="1:24" ht="24.6" customHeight="1" x14ac:dyDescent="0.25">
      <c r="A20" s="15">
        <v>1</v>
      </c>
      <c r="B20" s="19" t="s">
        <v>16</v>
      </c>
      <c r="C20" s="16" t="s">
        <v>34</v>
      </c>
      <c r="D20" s="20" t="s">
        <v>18</v>
      </c>
      <c r="E20" s="16" t="s">
        <v>19</v>
      </c>
      <c r="F20" s="16" t="s">
        <v>20</v>
      </c>
      <c r="G20" s="16" t="s">
        <v>21</v>
      </c>
      <c r="H20" s="16" t="s">
        <v>22</v>
      </c>
      <c r="I20" s="16" t="s">
        <v>23</v>
      </c>
      <c r="J20" s="16" t="s">
        <v>24</v>
      </c>
      <c r="K20" s="16" t="s">
        <v>25</v>
      </c>
      <c r="L20" s="16" t="s">
        <v>23</v>
      </c>
      <c r="M20" s="17" t="s">
        <v>93</v>
      </c>
      <c r="N20" s="18">
        <v>3</v>
      </c>
      <c r="O20" s="18">
        <v>3</v>
      </c>
      <c r="P20" s="18">
        <v>3</v>
      </c>
      <c r="Q20" s="18">
        <v>3</v>
      </c>
      <c r="R20" s="18">
        <v>3</v>
      </c>
      <c r="S20" s="18">
        <v>3</v>
      </c>
      <c r="T20" s="8">
        <v>3</v>
      </c>
      <c r="U20" s="8">
        <v>3</v>
      </c>
      <c r="V20" s="8">
        <v>3</v>
      </c>
      <c r="W20" s="8">
        <v>3</v>
      </c>
      <c r="X20" s="8"/>
    </row>
    <row r="21" spans="1:24" ht="24.6" customHeight="1" x14ac:dyDescent="0.25">
      <c r="A21" s="15">
        <v>1</v>
      </c>
      <c r="B21" s="19" t="s">
        <v>16</v>
      </c>
      <c r="C21" s="16" t="s">
        <v>35</v>
      </c>
      <c r="D21" s="20" t="s">
        <v>18</v>
      </c>
      <c r="E21" s="16" t="s">
        <v>19</v>
      </c>
      <c r="F21" s="16" t="s">
        <v>20</v>
      </c>
      <c r="G21" s="16" t="s">
        <v>21</v>
      </c>
      <c r="H21" s="16" t="s">
        <v>22</v>
      </c>
      <c r="I21" s="16" t="s">
        <v>23</v>
      </c>
      <c r="J21" s="16" t="s">
        <v>24</v>
      </c>
      <c r="K21" s="16" t="s">
        <v>25</v>
      </c>
      <c r="L21" s="16" t="s">
        <v>23</v>
      </c>
      <c r="M21" s="17" t="s">
        <v>93</v>
      </c>
      <c r="N21" s="18">
        <v>3</v>
      </c>
      <c r="O21" s="18">
        <v>3</v>
      </c>
      <c r="P21" s="18">
        <v>3</v>
      </c>
      <c r="Q21" s="18">
        <v>3</v>
      </c>
      <c r="R21" s="18">
        <v>3</v>
      </c>
      <c r="S21" s="18">
        <v>3</v>
      </c>
      <c r="T21" s="8">
        <v>3</v>
      </c>
      <c r="U21" s="8">
        <v>3</v>
      </c>
      <c r="V21" s="8">
        <v>3</v>
      </c>
      <c r="W21" s="8">
        <v>3</v>
      </c>
      <c r="X21" s="8">
        <v>3</v>
      </c>
    </row>
    <row r="22" spans="1:24" ht="24.6" customHeight="1" x14ac:dyDescent="0.25">
      <c r="R22" s="21"/>
      <c r="S22" s="21"/>
    </row>
    <row r="23" spans="1:24" ht="24.6" customHeight="1" x14ac:dyDescent="0.25">
      <c r="K23" s="38" t="s">
        <v>94</v>
      </c>
      <c r="L23" s="38"/>
      <c r="M23" s="38"/>
    </row>
    <row r="24" spans="1:24" ht="15.75" thickBot="1" x14ac:dyDescent="0.3">
      <c r="K24" s="31" t="s">
        <v>95</v>
      </c>
      <c r="L24" s="31"/>
      <c r="M24" s="32"/>
    </row>
    <row r="25" spans="1:24" x14ac:dyDescent="0.25">
      <c r="A25" s="29" t="s">
        <v>96</v>
      </c>
      <c r="B25" s="29" t="s">
        <v>1</v>
      </c>
      <c r="C25" s="29" t="s">
        <v>2</v>
      </c>
      <c r="D25" s="29" t="s">
        <v>3</v>
      </c>
      <c r="E25" s="29" t="s">
        <v>4</v>
      </c>
      <c r="F25" s="34" t="s">
        <v>5</v>
      </c>
      <c r="G25" s="34" t="s">
        <v>6</v>
      </c>
      <c r="H25" s="34" t="s">
        <v>7</v>
      </c>
      <c r="I25" s="34" t="s">
        <v>8</v>
      </c>
      <c r="J25" s="29" t="s">
        <v>9</v>
      </c>
      <c r="K25" s="29" t="s">
        <v>10</v>
      </c>
      <c r="L25" s="29" t="s">
        <v>11</v>
      </c>
      <c r="M25" s="29" t="s">
        <v>12</v>
      </c>
      <c r="N25" s="36" t="s">
        <v>97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spans="1:24" x14ac:dyDescent="0.25">
      <c r="A26" s="30"/>
      <c r="B26" s="30"/>
      <c r="C26" s="30"/>
      <c r="D26" s="30"/>
      <c r="E26" s="30"/>
      <c r="F26" s="35"/>
      <c r="G26" s="35"/>
      <c r="H26" s="35"/>
      <c r="I26" s="35"/>
      <c r="J26" s="30"/>
      <c r="K26" s="30"/>
      <c r="L26" s="30"/>
      <c r="M26" s="30"/>
      <c r="N26" s="37"/>
      <c r="O26" s="37"/>
      <c r="P26" s="37"/>
      <c r="Q26" s="37"/>
      <c r="R26" s="37"/>
      <c r="S26" s="36"/>
      <c r="T26" s="36"/>
      <c r="U26" s="36"/>
      <c r="V26" s="36"/>
      <c r="W26" s="36"/>
      <c r="X26" s="36"/>
    </row>
    <row r="27" spans="1:24" ht="25.5" x14ac:dyDescent="0.25">
      <c r="A27" s="15">
        <v>1</v>
      </c>
      <c r="B27" s="19" t="s">
        <v>16</v>
      </c>
      <c r="C27" s="16" t="s">
        <v>98</v>
      </c>
      <c r="D27" s="20" t="s">
        <v>18</v>
      </c>
      <c r="E27" s="16" t="s">
        <v>19</v>
      </c>
      <c r="F27" s="16" t="s">
        <v>20</v>
      </c>
      <c r="G27" s="16" t="s">
        <v>21</v>
      </c>
      <c r="H27" s="16" t="s">
        <v>22</v>
      </c>
      <c r="I27" s="16" t="s">
        <v>23</v>
      </c>
      <c r="J27" s="16" t="s">
        <v>24</v>
      </c>
      <c r="K27" s="16" t="s">
        <v>25</v>
      </c>
      <c r="L27" s="16" t="s">
        <v>23</v>
      </c>
      <c r="M27" s="17" t="s">
        <v>93</v>
      </c>
    </row>
    <row r="28" spans="1:24" ht="25.5" x14ac:dyDescent="0.25">
      <c r="A28" s="15">
        <v>1</v>
      </c>
      <c r="B28" s="19" t="s">
        <v>16</v>
      </c>
      <c r="C28" s="16" t="s">
        <v>99</v>
      </c>
      <c r="D28" s="20" t="s">
        <v>41</v>
      </c>
      <c r="E28" s="16" t="s">
        <v>19</v>
      </c>
      <c r="F28" s="16" t="s">
        <v>20</v>
      </c>
      <c r="G28" s="16" t="s">
        <v>21</v>
      </c>
      <c r="H28" s="16" t="s">
        <v>22</v>
      </c>
      <c r="I28" s="16" t="s">
        <v>23</v>
      </c>
      <c r="J28" s="16" t="s">
        <v>24</v>
      </c>
      <c r="K28" s="16" t="s">
        <v>25</v>
      </c>
      <c r="L28" s="16" t="s">
        <v>23</v>
      </c>
      <c r="M28" s="17" t="s">
        <v>93</v>
      </c>
    </row>
    <row r="29" spans="1:24" ht="25.5" x14ac:dyDescent="0.25">
      <c r="A29" s="15">
        <v>1</v>
      </c>
      <c r="B29" s="19" t="s">
        <v>16</v>
      </c>
      <c r="C29" s="16" t="s">
        <v>100</v>
      </c>
      <c r="D29" s="20" t="s">
        <v>41</v>
      </c>
      <c r="E29" s="16" t="s">
        <v>19</v>
      </c>
      <c r="F29" s="16" t="s">
        <v>20</v>
      </c>
      <c r="G29" s="16" t="s">
        <v>21</v>
      </c>
      <c r="H29" s="16" t="s">
        <v>22</v>
      </c>
      <c r="I29" s="16" t="s">
        <v>23</v>
      </c>
      <c r="J29" s="16" t="s">
        <v>24</v>
      </c>
      <c r="K29" s="16" t="s">
        <v>25</v>
      </c>
      <c r="L29" s="16" t="s">
        <v>23</v>
      </c>
      <c r="M29" s="17" t="s">
        <v>93</v>
      </c>
    </row>
    <row r="30" spans="1:24" ht="25.5" x14ac:dyDescent="0.25">
      <c r="A30" s="15">
        <v>1</v>
      </c>
      <c r="B30" s="19" t="s">
        <v>16</v>
      </c>
      <c r="C30" s="16" t="s">
        <v>101</v>
      </c>
      <c r="D30" s="20" t="s">
        <v>18</v>
      </c>
      <c r="E30" s="16" t="s">
        <v>19</v>
      </c>
      <c r="F30" s="16" t="s">
        <v>20</v>
      </c>
      <c r="G30" s="16" t="s">
        <v>21</v>
      </c>
      <c r="H30" s="16" t="s">
        <v>22</v>
      </c>
      <c r="I30" s="16" t="s">
        <v>23</v>
      </c>
      <c r="J30" s="16" t="s">
        <v>24</v>
      </c>
      <c r="K30" s="16" t="s">
        <v>25</v>
      </c>
      <c r="L30" s="16" t="s">
        <v>23</v>
      </c>
      <c r="M30" s="17" t="s">
        <v>93</v>
      </c>
    </row>
    <row r="31" spans="1:24" ht="25.5" x14ac:dyDescent="0.25">
      <c r="A31" s="15">
        <v>1</v>
      </c>
      <c r="B31" s="19" t="s">
        <v>16</v>
      </c>
      <c r="C31" s="16" t="s">
        <v>102</v>
      </c>
      <c r="D31" s="20" t="s">
        <v>41</v>
      </c>
      <c r="E31" s="16" t="s">
        <v>19</v>
      </c>
      <c r="F31" s="16" t="s">
        <v>20</v>
      </c>
      <c r="G31" s="16" t="s">
        <v>21</v>
      </c>
      <c r="H31" s="16" t="s">
        <v>22</v>
      </c>
      <c r="I31" s="16" t="s">
        <v>23</v>
      </c>
      <c r="J31" s="16" t="s">
        <v>24</v>
      </c>
      <c r="K31" s="16" t="s">
        <v>25</v>
      </c>
      <c r="L31" s="16" t="s">
        <v>23</v>
      </c>
      <c r="M31" s="17" t="s">
        <v>93</v>
      </c>
    </row>
    <row r="32" spans="1:24" ht="25.5" x14ac:dyDescent="0.25">
      <c r="A32" s="15">
        <v>1</v>
      </c>
      <c r="B32" s="19" t="s">
        <v>16</v>
      </c>
      <c r="C32" s="16" t="s">
        <v>103</v>
      </c>
      <c r="D32" s="20" t="s">
        <v>46</v>
      </c>
      <c r="E32" s="16" t="s">
        <v>19</v>
      </c>
      <c r="F32" s="16" t="s">
        <v>20</v>
      </c>
      <c r="G32" s="16" t="s">
        <v>21</v>
      </c>
      <c r="H32" s="16" t="s">
        <v>22</v>
      </c>
      <c r="I32" s="16" t="s">
        <v>23</v>
      </c>
      <c r="J32" s="16" t="s">
        <v>24</v>
      </c>
      <c r="K32" s="16" t="s">
        <v>25</v>
      </c>
      <c r="L32" s="16" t="s">
        <v>23</v>
      </c>
      <c r="M32" s="17" t="s">
        <v>93</v>
      </c>
    </row>
    <row r="33" spans="1:38" ht="25.5" x14ac:dyDescent="0.25">
      <c r="A33" s="15">
        <v>1</v>
      </c>
      <c r="B33" s="19" t="s">
        <v>16</v>
      </c>
      <c r="C33" s="16" t="s">
        <v>104</v>
      </c>
      <c r="D33" s="20" t="s">
        <v>18</v>
      </c>
      <c r="E33" s="16" t="s">
        <v>19</v>
      </c>
      <c r="F33" s="16" t="s">
        <v>20</v>
      </c>
      <c r="G33" s="16" t="s">
        <v>21</v>
      </c>
      <c r="H33" s="16" t="s">
        <v>22</v>
      </c>
      <c r="I33" s="16" t="s">
        <v>23</v>
      </c>
      <c r="J33" s="16" t="s">
        <v>24</v>
      </c>
      <c r="K33" s="16" t="s">
        <v>25</v>
      </c>
      <c r="L33" s="16" t="s">
        <v>23</v>
      </c>
      <c r="M33" s="17" t="s">
        <v>93</v>
      </c>
    </row>
    <row r="34" spans="1:38" ht="25.5" x14ac:dyDescent="0.25">
      <c r="A34" s="15">
        <v>1</v>
      </c>
      <c r="B34" s="19" t="s">
        <v>16</v>
      </c>
      <c r="C34" s="16" t="s">
        <v>105</v>
      </c>
      <c r="D34" s="20" t="s">
        <v>46</v>
      </c>
      <c r="E34" s="16" t="s">
        <v>19</v>
      </c>
      <c r="F34" s="16" t="s">
        <v>20</v>
      </c>
      <c r="G34" s="16" t="s">
        <v>21</v>
      </c>
      <c r="H34" s="16" t="s">
        <v>22</v>
      </c>
      <c r="I34" s="16" t="s">
        <v>23</v>
      </c>
      <c r="J34" s="16" t="s">
        <v>24</v>
      </c>
      <c r="K34" s="16" t="s">
        <v>25</v>
      </c>
      <c r="L34" s="16" t="s">
        <v>23</v>
      </c>
      <c r="M34" s="17" t="s">
        <v>93</v>
      </c>
    </row>
    <row r="35" spans="1:38" ht="25.5" x14ac:dyDescent="0.25">
      <c r="A35" s="15">
        <v>1</v>
      </c>
      <c r="B35" s="19" t="s">
        <v>16</v>
      </c>
      <c r="C35" s="16" t="s">
        <v>106</v>
      </c>
      <c r="D35" s="20" t="s">
        <v>41</v>
      </c>
      <c r="E35" s="16" t="s">
        <v>19</v>
      </c>
      <c r="F35" s="16" t="s">
        <v>20</v>
      </c>
      <c r="G35" s="16" t="s">
        <v>21</v>
      </c>
      <c r="H35" s="16" t="s">
        <v>22</v>
      </c>
      <c r="I35" s="16" t="s">
        <v>23</v>
      </c>
      <c r="J35" s="16" t="s">
        <v>24</v>
      </c>
      <c r="K35" s="16" t="s">
        <v>25</v>
      </c>
      <c r="L35" s="16" t="s">
        <v>23</v>
      </c>
      <c r="M35" s="17" t="s">
        <v>93</v>
      </c>
    </row>
    <row r="36" spans="1:38" ht="25.5" x14ac:dyDescent="0.25">
      <c r="A36" s="15">
        <v>1</v>
      </c>
      <c r="B36" s="19" t="s">
        <v>16</v>
      </c>
      <c r="C36" s="16" t="s">
        <v>107</v>
      </c>
      <c r="D36" s="20" t="s">
        <v>41</v>
      </c>
      <c r="E36" s="16" t="s">
        <v>19</v>
      </c>
      <c r="F36" s="16" t="s">
        <v>20</v>
      </c>
      <c r="G36" s="16" t="s">
        <v>21</v>
      </c>
      <c r="H36" s="16" t="s">
        <v>22</v>
      </c>
      <c r="I36" s="16" t="s">
        <v>23</v>
      </c>
      <c r="J36" s="16" t="s">
        <v>24</v>
      </c>
      <c r="K36" s="16" t="s">
        <v>25</v>
      </c>
      <c r="L36" s="16" t="s">
        <v>23</v>
      </c>
      <c r="M36" s="17" t="s">
        <v>93</v>
      </c>
    </row>
    <row r="37" spans="1:38" ht="25.5" x14ac:dyDescent="0.25">
      <c r="A37" s="15">
        <v>1</v>
      </c>
      <c r="B37" s="19" t="s">
        <v>16</v>
      </c>
      <c r="C37" s="16" t="s">
        <v>108</v>
      </c>
      <c r="D37" s="20" t="s">
        <v>41</v>
      </c>
      <c r="E37" s="16" t="s">
        <v>19</v>
      </c>
      <c r="F37" s="16" t="s">
        <v>20</v>
      </c>
      <c r="G37" s="16" t="s">
        <v>21</v>
      </c>
      <c r="H37" s="16" t="s">
        <v>22</v>
      </c>
      <c r="I37" s="16" t="s">
        <v>23</v>
      </c>
      <c r="J37" s="16" t="s">
        <v>24</v>
      </c>
      <c r="K37" s="16" t="s">
        <v>25</v>
      </c>
      <c r="L37" s="16" t="s">
        <v>23</v>
      </c>
      <c r="M37" s="17" t="s">
        <v>93</v>
      </c>
    </row>
    <row r="38" spans="1:38" ht="25.5" x14ac:dyDescent="0.25">
      <c r="A38" s="15">
        <v>1</v>
      </c>
      <c r="B38" s="19" t="s">
        <v>16</v>
      </c>
      <c r="C38" s="16" t="s">
        <v>109</v>
      </c>
      <c r="D38" s="20" t="s">
        <v>18</v>
      </c>
      <c r="E38" s="16" t="s">
        <v>19</v>
      </c>
      <c r="F38" s="16" t="s">
        <v>20</v>
      </c>
      <c r="G38" s="16" t="s">
        <v>21</v>
      </c>
      <c r="H38" s="16" t="s">
        <v>22</v>
      </c>
      <c r="I38" s="16" t="s">
        <v>23</v>
      </c>
      <c r="J38" s="16" t="s">
        <v>24</v>
      </c>
      <c r="K38" s="16" t="s">
        <v>25</v>
      </c>
      <c r="L38" s="16" t="s">
        <v>23</v>
      </c>
      <c r="M38" s="17" t="s">
        <v>93</v>
      </c>
    </row>
    <row r="39" spans="1:38" ht="25.5" x14ac:dyDescent="0.25">
      <c r="A39" s="15">
        <v>1</v>
      </c>
      <c r="B39" s="19" t="s">
        <v>16</v>
      </c>
      <c r="C39" s="16" t="s">
        <v>110</v>
      </c>
      <c r="D39" s="20" t="s">
        <v>41</v>
      </c>
      <c r="E39" s="16" t="s">
        <v>19</v>
      </c>
      <c r="F39" s="16" t="s">
        <v>20</v>
      </c>
      <c r="G39" s="16" t="s">
        <v>21</v>
      </c>
      <c r="H39" s="16" t="s">
        <v>22</v>
      </c>
      <c r="I39" s="16" t="s">
        <v>23</v>
      </c>
      <c r="J39" s="16" t="s">
        <v>24</v>
      </c>
      <c r="K39" s="16" t="s">
        <v>25</v>
      </c>
      <c r="L39" s="16" t="s">
        <v>23</v>
      </c>
      <c r="M39" s="17" t="s">
        <v>93</v>
      </c>
    </row>
    <row r="40" spans="1:38" ht="25.5" x14ac:dyDescent="0.25">
      <c r="A40" s="15">
        <v>1</v>
      </c>
      <c r="B40" s="19" t="s">
        <v>16</v>
      </c>
      <c r="C40" s="16" t="s">
        <v>111</v>
      </c>
      <c r="D40" s="20" t="s">
        <v>18</v>
      </c>
      <c r="E40" s="16" t="s">
        <v>19</v>
      </c>
      <c r="F40" s="16" t="s">
        <v>20</v>
      </c>
      <c r="G40" s="16" t="s">
        <v>21</v>
      </c>
      <c r="H40" s="16" t="s">
        <v>22</v>
      </c>
      <c r="I40" s="16" t="s">
        <v>23</v>
      </c>
      <c r="J40" s="16" t="s">
        <v>24</v>
      </c>
      <c r="K40" s="16" t="s">
        <v>25</v>
      </c>
      <c r="L40" s="16" t="s">
        <v>23</v>
      </c>
      <c r="M40" s="17" t="s">
        <v>93</v>
      </c>
    </row>
    <row r="41" spans="1:38" ht="25.5" x14ac:dyDescent="0.25">
      <c r="A41" s="15">
        <v>1</v>
      </c>
      <c r="B41" s="19" t="s">
        <v>16</v>
      </c>
      <c r="C41" s="16" t="s">
        <v>112</v>
      </c>
      <c r="D41" s="20" t="s">
        <v>18</v>
      </c>
      <c r="E41" s="16" t="s">
        <v>19</v>
      </c>
      <c r="F41" s="16" t="s">
        <v>20</v>
      </c>
      <c r="G41" s="16" t="s">
        <v>21</v>
      </c>
      <c r="H41" s="16" t="s">
        <v>22</v>
      </c>
      <c r="I41" s="16" t="s">
        <v>23</v>
      </c>
      <c r="J41" s="16" t="s">
        <v>24</v>
      </c>
      <c r="K41" s="16" t="s">
        <v>25</v>
      </c>
      <c r="L41" s="16" t="s">
        <v>23</v>
      </c>
      <c r="M41" s="17" t="s">
        <v>93</v>
      </c>
    </row>
    <row r="42" spans="1:38" ht="25.5" x14ac:dyDescent="0.25">
      <c r="A42" s="15">
        <v>1</v>
      </c>
      <c r="B42" s="19" t="s">
        <v>16</v>
      </c>
      <c r="C42" s="16" t="s">
        <v>113</v>
      </c>
      <c r="D42" s="20" t="s">
        <v>18</v>
      </c>
      <c r="E42" s="16" t="s">
        <v>19</v>
      </c>
      <c r="F42" s="16" t="s">
        <v>20</v>
      </c>
      <c r="G42" s="16" t="s">
        <v>21</v>
      </c>
      <c r="H42" s="16" t="s">
        <v>22</v>
      </c>
      <c r="I42" s="16" t="s">
        <v>23</v>
      </c>
      <c r="J42" s="16" t="s">
        <v>24</v>
      </c>
      <c r="K42" s="16" t="s">
        <v>25</v>
      </c>
      <c r="L42" s="16" t="s">
        <v>23</v>
      </c>
      <c r="M42" s="17" t="s">
        <v>93</v>
      </c>
    </row>
    <row r="43" spans="1:38" ht="25.5" x14ac:dyDescent="0.25">
      <c r="A43" s="15">
        <v>1</v>
      </c>
      <c r="B43" s="19" t="s">
        <v>16</v>
      </c>
      <c r="C43" s="16" t="s">
        <v>114</v>
      </c>
      <c r="D43" s="20" t="s">
        <v>41</v>
      </c>
      <c r="E43" s="16" t="s">
        <v>19</v>
      </c>
      <c r="F43" s="16" t="s">
        <v>20</v>
      </c>
      <c r="G43" s="16" t="s">
        <v>21</v>
      </c>
      <c r="H43" s="16" t="s">
        <v>22</v>
      </c>
      <c r="I43" s="16" t="s">
        <v>23</v>
      </c>
      <c r="J43" s="16" t="s">
        <v>24</v>
      </c>
      <c r="K43" s="16" t="s">
        <v>25</v>
      </c>
      <c r="L43" s="16" t="s">
        <v>23</v>
      </c>
      <c r="M43" s="17" t="s">
        <v>93</v>
      </c>
      <c r="AL43" s="20" t="s">
        <v>18</v>
      </c>
    </row>
    <row r="44" spans="1:38" ht="25.5" x14ac:dyDescent="0.25">
      <c r="A44" s="15">
        <v>1</v>
      </c>
      <c r="B44" s="19" t="s">
        <v>16</v>
      </c>
      <c r="C44" s="16" t="s">
        <v>115</v>
      </c>
      <c r="D44" s="20" t="s">
        <v>41</v>
      </c>
      <c r="E44" s="16" t="s">
        <v>19</v>
      </c>
      <c r="F44" s="16" t="s">
        <v>20</v>
      </c>
      <c r="G44" s="16" t="s">
        <v>21</v>
      </c>
      <c r="H44" s="16" t="s">
        <v>22</v>
      </c>
      <c r="I44" s="16" t="s">
        <v>23</v>
      </c>
      <c r="J44" s="16" t="s">
        <v>24</v>
      </c>
      <c r="K44" s="16" t="s">
        <v>25</v>
      </c>
      <c r="L44" s="16" t="s">
        <v>23</v>
      </c>
      <c r="M44" s="17" t="s">
        <v>93</v>
      </c>
      <c r="AL44" s="20" t="s">
        <v>41</v>
      </c>
    </row>
    <row r="45" spans="1:38" ht="25.5" x14ac:dyDescent="0.25">
      <c r="A45" s="15">
        <v>1</v>
      </c>
      <c r="B45" s="19" t="s">
        <v>16</v>
      </c>
      <c r="C45" s="16" t="s">
        <v>116</v>
      </c>
      <c r="D45" s="20" t="s">
        <v>18</v>
      </c>
      <c r="E45" s="16" t="s">
        <v>19</v>
      </c>
      <c r="F45" s="16" t="s">
        <v>20</v>
      </c>
      <c r="G45" s="16" t="s">
        <v>21</v>
      </c>
      <c r="H45" s="16" t="s">
        <v>22</v>
      </c>
      <c r="I45" s="16" t="s">
        <v>23</v>
      </c>
      <c r="J45" s="16" t="s">
        <v>24</v>
      </c>
      <c r="K45" s="16" t="s">
        <v>25</v>
      </c>
      <c r="L45" s="16" t="s">
        <v>23</v>
      </c>
      <c r="M45" s="17" t="s">
        <v>93</v>
      </c>
      <c r="AL45" s="20" t="s">
        <v>46</v>
      </c>
    </row>
    <row r="46" spans="1:38" ht="25.5" x14ac:dyDescent="0.25">
      <c r="A46" s="15">
        <v>1</v>
      </c>
      <c r="B46" s="19" t="s">
        <v>16</v>
      </c>
      <c r="C46" s="16" t="s">
        <v>117</v>
      </c>
      <c r="D46" s="20" t="s">
        <v>46</v>
      </c>
      <c r="E46" s="16" t="s">
        <v>19</v>
      </c>
      <c r="F46" s="16" t="s">
        <v>20</v>
      </c>
      <c r="G46" s="16" t="s">
        <v>21</v>
      </c>
      <c r="H46" s="16" t="s">
        <v>22</v>
      </c>
      <c r="I46" s="16" t="s">
        <v>23</v>
      </c>
      <c r="J46" s="16" t="s">
        <v>24</v>
      </c>
      <c r="K46" s="16" t="s">
        <v>25</v>
      </c>
      <c r="L46" s="16" t="s">
        <v>23</v>
      </c>
      <c r="M46" s="17" t="s">
        <v>93</v>
      </c>
      <c r="AL46" s="20" t="s">
        <v>68</v>
      </c>
    </row>
    <row r="47" spans="1:38" ht="25.5" x14ac:dyDescent="0.25">
      <c r="A47" s="15">
        <v>1</v>
      </c>
      <c r="B47" s="19" t="s">
        <v>16</v>
      </c>
      <c r="C47" s="16" t="s">
        <v>118</v>
      </c>
      <c r="D47" s="20" t="s">
        <v>41</v>
      </c>
      <c r="E47" s="16" t="s">
        <v>19</v>
      </c>
      <c r="F47" s="16" t="s">
        <v>20</v>
      </c>
      <c r="G47" s="16" t="s">
        <v>21</v>
      </c>
      <c r="H47" s="16" t="s">
        <v>22</v>
      </c>
      <c r="I47" s="16" t="s">
        <v>23</v>
      </c>
      <c r="J47" s="16" t="s">
        <v>24</v>
      </c>
      <c r="K47" s="16" t="s">
        <v>25</v>
      </c>
      <c r="L47" s="16" t="s">
        <v>23</v>
      </c>
      <c r="M47" s="17" t="s">
        <v>93</v>
      </c>
    </row>
    <row r="48" spans="1:38" ht="25.5" x14ac:dyDescent="0.25">
      <c r="A48" s="15">
        <v>1</v>
      </c>
      <c r="B48" s="19" t="s">
        <v>16</v>
      </c>
      <c r="C48" s="16" t="s">
        <v>119</v>
      </c>
      <c r="D48" s="20" t="s">
        <v>18</v>
      </c>
      <c r="E48" s="16" t="s">
        <v>19</v>
      </c>
      <c r="F48" s="16" t="s">
        <v>20</v>
      </c>
      <c r="G48" s="16" t="s">
        <v>21</v>
      </c>
      <c r="H48" s="16" t="s">
        <v>22</v>
      </c>
      <c r="I48" s="16" t="s">
        <v>23</v>
      </c>
      <c r="J48" s="16" t="s">
        <v>24</v>
      </c>
      <c r="K48" s="16" t="s">
        <v>25</v>
      </c>
      <c r="L48" s="16" t="s">
        <v>23</v>
      </c>
      <c r="M48" s="17" t="s">
        <v>93</v>
      </c>
    </row>
    <row r="49" spans="1:13" ht="38.25" x14ac:dyDescent="0.25">
      <c r="A49" s="15">
        <v>1</v>
      </c>
      <c r="B49" s="19" t="s">
        <v>120</v>
      </c>
      <c r="C49" s="16" t="s">
        <v>121</v>
      </c>
      <c r="D49" s="20" t="s">
        <v>41</v>
      </c>
      <c r="E49" s="16" t="s">
        <v>19</v>
      </c>
      <c r="F49" s="16" t="s">
        <v>20</v>
      </c>
      <c r="G49" s="16" t="s">
        <v>21</v>
      </c>
      <c r="H49" s="16" t="s">
        <v>22</v>
      </c>
      <c r="I49" s="16" t="s">
        <v>23</v>
      </c>
      <c r="J49" s="16" t="s">
        <v>24</v>
      </c>
      <c r="K49" s="16" t="s">
        <v>25</v>
      </c>
      <c r="L49" s="16" t="s">
        <v>23</v>
      </c>
      <c r="M49" s="17" t="s">
        <v>93</v>
      </c>
    </row>
    <row r="50" spans="1:13" ht="38.25" x14ac:dyDescent="0.25">
      <c r="A50" s="15">
        <v>1</v>
      </c>
      <c r="B50" s="19" t="s">
        <v>120</v>
      </c>
      <c r="C50" s="16" t="s">
        <v>122</v>
      </c>
      <c r="D50" s="20" t="s">
        <v>46</v>
      </c>
      <c r="E50" s="16" t="s">
        <v>19</v>
      </c>
      <c r="F50" s="16" t="s">
        <v>20</v>
      </c>
      <c r="G50" s="16" t="s">
        <v>21</v>
      </c>
      <c r="H50" s="16" t="s">
        <v>22</v>
      </c>
      <c r="I50" s="16" t="s">
        <v>23</v>
      </c>
      <c r="J50" s="16" t="s">
        <v>24</v>
      </c>
      <c r="K50" s="16" t="s">
        <v>25</v>
      </c>
      <c r="L50" s="16" t="s">
        <v>23</v>
      </c>
      <c r="M50" s="17" t="s">
        <v>93</v>
      </c>
    </row>
    <row r="51" spans="1:13" ht="38.25" x14ac:dyDescent="0.25">
      <c r="A51" s="15">
        <v>1</v>
      </c>
      <c r="B51" s="19" t="s">
        <v>120</v>
      </c>
      <c r="C51" s="16" t="s">
        <v>123</v>
      </c>
      <c r="D51" s="20" t="s">
        <v>68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  <c r="J51" s="16" t="s">
        <v>24</v>
      </c>
      <c r="K51" s="16" t="s">
        <v>25</v>
      </c>
      <c r="L51" s="16" t="s">
        <v>23</v>
      </c>
      <c r="M51" s="17" t="s">
        <v>93</v>
      </c>
    </row>
    <row r="52" spans="1:13" ht="38.25" x14ac:dyDescent="0.25">
      <c r="A52" s="15">
        <v>1</v>
      </c>
      <c r="B52" s="19" t="s">
        <v>120</v>
      </c>
      <c r="C52" s="16" t="s">
        <v>124</v>
      </c>
      <c r="D52" s="20" t="s">
        <v>41</v>
      </c>
      <c r="E52" s="16" t="s">
        <v>19</v>
      </c>
      <c r="F52" s="16" t="s">
        <v>20</v>
      </c>
      <c r="G52" s="16" t="s">
        <v>21</v>
      </c>
      <c r="H52" s="16" t="s">
        <v>22</v>
      </c>
      <c r="I52" s="16" t="s">
        <v>23</v>
      </c>
      <c r="J52" s="16" t="s">
        <v>24</v>
      </c>
      <c r="K52" s="16" t="s">
        <v>25</v>
      </c>
      <c r="L52" s="16" t="s">
        <v>23</v>
      </c>
      <c r="M52" s="17" t="s">
        <v>93</v>
      </c>
    </row>
    <row r="53" spans="1:13" ht="38.25" x14ac:dyDescent="0.25">
      <c r="A53" s="15">
        <v>1</v>
      </c>
      <c r="B53" s="19" t="s">
        <v>120</v>
      </c>
      <c r="C53" s="16" t="s">
        <v>125</v>
      </c>
      <c r="D53" s="20" t="s">
        <v>41</v>
      </c>
      <c r="E53" s="16" t="s">
        <v>19</v>
      </c>
      <c r="F53" s="16" t="s">
        <v>20</v>
      </c>
      <c r="G53" s="16" t="s">
        <v>21</v>
      </c>
      <c r="H53" s="16" t="s">
        <v>22</v>
      </c>
      <c r="I53" s="16" t="s">
        <v>23</v>
      </c>
      <c r="J53" s="16" t="s">
        <v>24</v>
      </c>
      <c r="K53" s="16" t="s">
        <v>25</v>
      </c>
      <c r="L53" s="16" t="s">
        <v>23</v>
      </c>
      <c r="M53" s="17" t="s">
        <v>93</v>
      </c>
    </row>
    <row r="54" spans="1:13" ht="25.5" x14ac:dyDescent="0.25">
      <c r="A54" s="15">
        <v>1</v>
      </c>
      <c r="B54" s="19" t="s">
        <v>71</v>
      </c>
      <c r="C54" s="16" t="s">
        <v>126</v>
      </c>
      <c r="D54" s="20" t="s">
        <v>18</v>
      </c>
      <c r="E54" s="16" t="s">
        <v>19</v>
      </c>
      <c r="F54" s="16" t="s">
        <v>20</v>
      </c>
      <c r="G54" s="16" t="s">
        <v>21</v>
      </c>
      <c r="H54" s="16" t="s">
        <v>22</v>
      </c>
      <c r="I54" s="16" t="s">
        <v>23</v>
      </c>
      <c r="J54" s="16" t="s">
        <v>24</v>
      </c>
      <c r="K54" s="16" t="s">
        <v>25</v>
      </c>
      <c r="L54" s="16" t="s">
        <v>23</v>
      </c>
      <c r="M54" s="17" t="s">
        <v>93</v>
      </c>
    </row>
    <row r="55" spans="1:13" ht="25.5" x14ac:dyDescent="0.25">
      <c r="A55" s="15">
        <v>1</v>
      </c>
      <c r="B55" s="19" t="s">
        <v>71</v>
      </c>
      <c r="C55" s="16" t="s">
        <v>127</v>
      </c>
      <c r="D55" s="20" t="s">
        <v>41</v>
      </c>
      <c r="E55" s="16" t="s">
        <v>19</v>
      </c>
      <c r="F55" s="16" t="s">
        <v>20</v>
      </c>
      <c r="G55" s="16" t="s">
        <v>21</v>
      </c>
      <c r="H55" s="16" t="s">
        <v>22</v>
      </c>
      <c r="I55" s="16" t="s">
        <v>23</v>
      </c>
      <c r="J55" s="16" t="s">
        <v>24</v>
      </c>
      <c r="K55" s="16" t="s">
        <v>25</v>
      </c>
      <c r="L55" s="16" t="s">
        <v>23</v>
      </c>
      <c r="M55" s="17" t="s">
        <v>93</v>
      </c>
    </row>
    <row r="56" spans="1:13" ht="38.25" x14ac:dyDescent="0.25">
      <c r="A56" s="15">
        <v>1</v>
      </c>
      <c r="B56" s="19" t="s">
        <v>128</v>
      </c>
      <c r="C56" s="16" t="s">
        <v>129</v>
      </c>
      <c r="D56" s="20" t="s">
        <v>41</v>
      </c>
      <c r="E56" s="16" t="s">
        <v>19</v>
      </c>
      <c r="F56" s="16" t="s">
        <v>20</v>
      </c>
      <c r="G56" s="16" t="s">
        <v>21</v>
      </c>
      <c r="H56" s="16" t="s">
        <v>22</v>
      </c>
      <c r="I56" s="16" t="s">
        <v>23</v>
      </c>
      <c r="J56" s="16" t="s">
        <v>24</v>
      </c>
      <c r="K56" s="16" t="s">
        <v>25</v>
      </c>
      <c r="L56" s="16" t="s">
        <v>23</v>
      </c>
      <c r="M56" s="17" t="s">
        <v>93</v>
      </c>
    </row>
    <row r="57" spans="1:13" ht="38.25" x14ac:dyDescent="0.25">
      <c r="A57" s="15">
        <v>1</v>
      </c>
      <c r="B57" s="19" t="s">
        <v>128</v>
      </c>
      <c r="C57" s="16" t="s">
        <v>130</v>
      </c>
      <c r="D57" s="20" t="s">
        <v>18</v>
      </c>
      <c r="E57" s="16" t="s">
        <v>19</v>
      </c>
      <c r="F57" s="16" t="s">
        <v>20</v>
      </c>
      <c r="G57" s="16" t="s">
        <v>21</v>
      </c>
      <c r="H57" s="16" t="s">
        <v>22</v>
      </c>
      <c r="I57" s="16" t="s">
        <v>23</v>
      </c>
      <c r="J57" s="16" t="s">
        <v>24</v>
      </c>
      <c r="K57" s="16" t="s">
        <v>25</v>
      </c>
      <c r="L57" s="16" t="s">
        <v>23</v>
      </c>
      <c r="M57" s="17" t="s">
        <v>93</v>
      </c>
    </row>
    <row r="58" spans="1:13" ht="38.25" x14ac:dyDescent="0.25">
      <c r="A58" s="15">
        <v>1</v>
      </c>
      <c r="B58" s="19" t="s">
        <v>128</v>
      </c>
      <c r="C58" s="16" t="s">
        <v>131</v>
      </c>
      <c r="D58" s="20" t="s">
        <v>18</v>
      </c>
      <c r="E58" s="16" t="s">
        <v>19</v>
      </c>
      <c r="F58" s="16" t="s">
        <v>20</v>
      </c>
      <c r="G58" s="16" t="s">
        <v>21</v>
      </c>
      <c r="H58" s="16" t="s">
        <v>22</v>
      </c>
      <c r="I58" s="16" t="s">
        <v>23</v>
      </c>
      <c r="J58" s="16" t="s">
        <v>24</v>
      </c>
      <c r="K58" s="16" t="s">
        <v>25</v>
      </c>
      <c r="L58" s="16" t="s">
        <v>23</v>
      </c>
      <c r="M58" s="17" t="s">
        <v>93</v>
      </c>
    </row>
    <row r="59" spans="1:13" ht="38.25" x14ac:dyDescent="0.25">
      <c r="A59" s="15">
        <v>1</v>
      </c>
      <c r="B59" s="19" t="s">
        <v>128</v>
      </c>
      <c r="C59" s="16" t="s">
        <v>132</v>
      </c>
      <c r="D59" s="20" t="s">
        <v>18</v>
      </c>
      <c r="E59" s="16" t="s">
        <v>19</v>
      </c>
      <c r="F59" s="16" t="s">
        <v>20</v>
      </c>
      <c r="G59" s="16" t="s">
        <v>21</v>
      </c>
      <c r="H59" s="16" t="s">
        <v>22</v>
      </c>
      <c r="I59" s="16" t="s">
        <v>23</v>
      </c>
      <c r="J59" s="16" t="s">
        <v>24</v>
      </c>
      <c r="K59" s="16" t="s">
        <v>25</v>
      </c>
      <c r="L59" s="16" t="s">
        <v>23</v>
      </c>
      <c r="M59" s="17" t="s">
        <v>93</v>
      </c>
    </row>
    <row r="60" spans="1:13" ht="38.25" x14ac:dyDescent="0.25">
      <c r="A60" s="15">
        <v>1</v>
      </c>
      <c r="B60" s="19" t="s">
        <v>128</v>
      </c>
      <c r="C60" s="16" t="s">
        <v>133</v>
      </c>
      <c r="D60" s="20" t="s">
        <v>18</v>
      </c>
      <c r="E60" s="16" t="s">
        <v>19</v>
      </c>
      <c r="F60" s="16" t="s">
        <v>20</v>
      </c>
      <c r="G60" s="16" t="s">
        <v>21</v>
      </c>
      <c r="H60" s="16" t="s">
        <v>22</v>
      </c>
      <c r="I60" s="16" t="s">
        <v>23</v>
      </c>
      <c r="J60" s="16" t="s">
        <v>24</v>
      </c>
      <c r="K60" s="16" t="s">
        <v>25</v>
      </c>
      <c r="L60" s="16" t="s">
        <v>23</v>
      </c>
      <c r="M60" s="17" t="s">
        <v>93</v>
      </c>
    </row>
    <row r="85" spans="1:40" x14ac:dyDescent="0.25">
      <c r="N85" s="33">
        <v>45897</v>
      </c>
      <c r="O85" s="33">
        <v>45898</v>
      </c>
      <c r="P85" s="33">
        <v>45899</v>
      </c>
      <c r="Q85" s="33">
        <v>45900</v>
      </c>
      <c r="R85" s="33">
        <v>45901</v>
      </c>
      <c r="S85" s="33">
        <v>45902</v>
      </c>
      <c r="T85" s="33">
        <v>45903</v>
      </c>
      <c r="U85" s="33">
        <v>45904</v>
      </c>
      <c r="V85" s="33">
        <v>45905</v>
      </c>
      <c r="W85" s="33">
        <v>45906</v>
      </c>
      <c r="X85" s="33">
        <v>45907</v>
      </c>
      <c r="Y85" s="33">
        <v>45908</v>
      </c>
      <c r="Z85" s="33">
        <v>45909</v>
      </c>
      <c r="AA85" s="33">
        <v>45910</v>
      </c>
      <c r="AB85" s="33">
        <v>45911</v>
      </c>
      <c r="AC85" s="33">
        <v>45912</v>
      </c>
      <c r="AD85" s="33">
        <v>45913</v>
      </c>
      <c r="AE85" s="33">
        <v>45914</v>
      </c>
      <c r="AF85" s="33">
        <v>45915</v>
      </c>
      <c r="AG85" s="33">
        <v>45916</v>
      </c>
      <c r="AH85" s="33">
        <v>45917</v>
      </c>
      <c r="AI85" s="33">
        <v>45918</v>
      </c>
      <c r="AJ85" s="33">
        <v>45919</v>
      </c>
      <c r="AK85" s="33">
        <v>45920</v>
      </c>
      <c r="AL85" s="33">
        <v>45921</v>
      </c>
      <c r="AM85" s="33">
        <v>45922</v>
      </c>
      <c r="AN85" s="33">
        <v>45923</v>
      </c>
    </row>
    <row r="86" spans="1:40" x14ac:dyDescent="0.25"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spans="1:40" x14ac:dyDescent="0.25"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</row>
    <row r="88" spans="1:40" x14ac:dyDescent="0.25">
      <c r="K88" s="38" t="s">
        <v>94</v>
      </c>
      <c r="L88" s="38"/>
      <c r="M88" s="43"/>
      <c r="N88" s="23">
        <v>34</v>
      </c>
      <c r="O88" s="23">
        <v>33</v>
      </c>
      <c r="P88" s="23">
        <v>31</v>
      </c>
      <c r="Q88" s="23">
        <v>30</v>
      </c>
      <c r="R88" s="23">
        <v>29</v>
      </c>
      <c r="S88" s="23">
        <v>29</v>
      </c>
      <c r="T88" s="23">
        <v>27</v>
      </c>
      <c r="U88" s="23">
        <v>25</v>
      </c>
      <c r="V88" s="23">
        <v>24</v>
      </c>
      <c r="W88" s="23">
        <v>24</v>
      </c>
      <c r="X88" s="23">
        <v>23</v>
      </c>
      <c r="Y88" s="23">
        <v>22</v>
      </c>
      <c r="Z88" s="23">
        <v>20</v>
      </c>
      <c r="AA88" s="23">
        <v>18</v>
      </c>
      <c r="AB88" s="23">
        <v>18</v>
      </c>
      <c r="AC88" s="23">
        <v>17</v>
      </c>
      <c r="AD88" s="23">
        <v>15</v>
      </c>
      <c r="AE88" s="23">
        <v>12</v>
      </c>
      <c r="AF88" s="23">
        <v>10</v>
      </c>
      <c r="AG88" s="23">
        <v>8</v>
      </c>
      <c r="AH88" s="23">
        <v>7</v>
      </c>
      <c r="AI88" s="23">
        <v>7</v>
      </c>
      <c r="AJ88" s="23">
        <v>5</v>
      </c>
      <c r="AK88" s="23">
        <v>4</v>
      </c>
      <c r="AL88" s="23">
        <v>3</v>
      </c>
      <c r="AM88" s="23">
        <v>2</v>
      </c>
      <c r="AN88" s="23">
        <v>1</v>
      </c>
    </row>
    <row r="89" spans="1:40" ht="15.75" thickBot="1" x14ac:dyDescent="0.3">
      <c r="K89" s="31" t="s">
        <v>95</v>
      </c>
      <c r="L89" s="31"/>
      <c r="M89" s="32"/>
      <c r="N89" s="23">
        <v>68</v>
      </c>
      <c r="O89" s="23">
        <v>66</v>
      </c>
      <c r="P89" s="23">
        <v>62</v>
      </c>
      <c r="Q89" s="23">
        <v>60</v>
      </c>
      <c r="R89" s="23">
        <v>58</v>
      </c>
      <c r="S89" s="23">
        <v>58</v>
      </c>
      <c r="T89" s="23">
        <v>54</v>
      </c>
      <c r="U89" s="23">
        <v>50</v>
      </c>
      <c r="V89" s="23">
        <v>48</v>
      </c>
      <c r="W89" s="23">
        <v>48</v>
      </c>
      <c r="X89" s="23">
        <v>46</v>
      </c>
      <c r="Y89" s="23">
        <v>44</v>
      </c>
      <c r="Z89" s="23">
        <v>40</v>
      </c>
      <c r="AA89" s="23">
        <v>36</v>
      </c>
      <c r="AB89" s="23">
        <v>36</v>
      </c>
      <c r="AC89" s="23">
        <v>34</v>
      </c>
      <c r="AD89" s="23">
        <v>30</v>
      </c>
      <c r="AE89" s="23">
        <v>24</v>
      </c>
      <c r="AF89" s="23">
        <v>20</v>
      </c>
      <c r="AG89" s="23">
        <v>16</v>
      </c>
      <c r="AH89" s="23">
        <v>14</v>
      </c>
      <c r="AI89" s="23">
        <v>14</v>
      </c>
      <c r="AJ89" s="23">
        <v>10</v>
      </c>
      <c r="AK89" s="23">
        <v>8</v>
      </c>
      <c r="AL89" s="23">
        <v>6</v>
      </c>
      <c r="AM89" s="23">
        <v>4</v>
      </c>
      <c r="AN89" s="23">
        <v>2</v>
      </c>
    </row>
    <row r="90" spans="1:40" x14ac:dyDescent="0.25">
      <c r="A90" s="29" t="s">
        <v>96</v>
      </c>
      <c r="B90" s="29" t="s">
        <v>1</v>
      </c>
      <c r="C90" s="29" t="s">
        <v>2</v>
      </c>
      <c r="D90" s="29" t="s">
        <v>3</v>
      </c>
      <c r="E90" s="29" t="s">
        <v>4</v>
      </c>
      <c r="F90" s="34" t="s">
        <v>5</v>
      </c>
      <c r="G90" s="34" t="s">
        <v>6</v>
      </c>
      <c r="H90" s="34" t="s">
        <v>7</v>
      </c>
      <c r="I90" s="34" t="s">
        <v>8</v>
      </c>
      <c r="J90" s="29" t="s">
        <v>9</v>
      </c>
      <c r="K90" s="29" t="s">
        <v>10</v>
      </c>
      <c r="L90" s="29" t="s">
        <v>11</v>
      </c>
      <c r="M90" s="39" t="s">
        <v>12</v>
      </c>
      <c r="N90" s="41" t="s">
        <v>97</v>
      </c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</row>
    <row r="91" spans="1:40" x14ac:dyDescent="0.25">
      <c r="A91" s="30"/>
      <c r="B91" s="30"/>
      <c r="C91" s="30"/>
      <c r="D91" s="30"/>
      <c r="E91" s="30"/>
      <c r="F91" s="35"/>
      <c r="G91" s="35"/>
      <c r="H91" s="35"/>
      <c r="I91" s="35"/>
      <c r="J91" s="30"/>
      <c r="K91" s="30"/>
      <c r="L91" s="30"/>
      <c r="M91" s="40"/>
      <c r="N91" s="41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</row>
    <row r="92" spans="1:40" ht="25.5" x14ac:dyDescent="0.25">
      <c r="A92" s="15">
        <v>1</v>
      </c>
      <c r="B92" s="19" t="s">
        <v>16</v>
      </c>
      <c r="C92" s="16" t="s">
        <v>98</v>
      </c>
      <c r="D92" s="20" t="s">
        <v>18</v>
      </c>
      <c r="E92" s="16" t="s">
        <v>19</v>
      </c>
      <c r="F92" s="16" t="s">
        <v>20</v>
      </c>
      <c r="G92" s="16" t="s">
        <v>21</v>
      </c>
      <c r="H92" s="16" t="s">
        <v>22</v>
      </c>
      <c r="I92" s="16" t="s">
        <v>23</v>
      </c>
      <c r="J92" s="16" t="s">
        <v>24</v>
      </c>
      <c r="K92" s="16" t="s">
        <v>25</v>
      </c>
      <c r="L92" s="16" t="s">
        <v>23</v>
      </c>
      <c r="M92" s="24" t="s">
        <v>93</v>
      </c>
      <c r="N92" s="23">
        <v>3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</row>
    <row r="93" spans="1:40" ht="25.5" x14ac:dyDescent="0.25">
      <c r="A93" s="15">
        <v>1</v>
      </c>
      <c r="B93" s="19" t="s">
        <v>16</v>
      </c>
      <c r="C93" s="16" t="s">
        <v>99</v>
      </c>
      <c r="D93" s="20" t="s">
        <v>41</v>
      </c>
      <c r="E93" s="16" t="s">
        <v>19</v>
      </c>
      <c r="F93" s="16" t="s">
        <v>20</v>
      </c>
      <c r="G93" s="16" t="s">
        <v>21</v>
      </c>
      <c r="H93" s="16" t="s">
        <v>22</v>
      </c>
      <c r="I93" s="16" t="s">
        <v>23</v>
      </c>
      <c r="J93" s="16" t="s">
        <v>24</v>
      </c>
      <c r="K93" s="16" t="s">
        <v>25</v>
      </c>
      <c r="L93" s="16" t="s">
        <v>23</v>
      </c>
      <c r="M93" s="24" t="s">
        <v>93</v>
      </c>
      <c r="N93" s="23">
        <v>3</v>
      </c>
      <c r="O93" s="23">
        <v>3</v>
      </c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</row>
    <row r="94" spans="1:40" ht="25.5" x14ac:dyDescent="0.25">
      <c r="A94" s="15">
        <v>1</v>
      </c>
      <c r="B94" s="19" t="s">
        <v>16</v>
      </c>
      <c r="C94" s="16" t="s">
        <v>100</v>
      </c>
      <c r="D94" s="20" t="s">
        <v>41</v>
      </c>
      <c r="E94" s="16" t="s">
        <v>19</v>
      </c>
      <c r="F94" s="16" t="s">
        <v>20</v>
      </c>
      <c r="G94" s="16" t="s">
        <v>21</v>
      </c>
      <c r="H94" s="16" t="s">
        <v>22</v>
      </c>
      <c r="I94" s="16" t="s">
        <v>23</v>
      </c>
      <c r="J94" s="16" t="s">
        <v>24</v>
      </c>
      <c r="K94" s="16" t="s">
        <v>25</v>
      </c>
      <c r="L94" s="16" t="s">
        <v>23</v>
      </c>
      <c r="M94" s="24" t="s">
        <v>93</v>
      </c>
      <c r="N94" s="23">
        <v>4</v>
      </c>
      <c r="O94" s="23">
        <v>4</v>
      </c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</row>
    <row r="95" spans="1:40" ht="25.5" x14ac:dyDescent="0.25">
      <c r="A95" s="15">
        <v>1</v>
      </c>
      <c r="B95" s="19" t="s">
        <v>16</v>
      </c>
      <c r="C95" s="16" t="s">
        <v>101</v>
      </c>
      <c r="D95" s="20" t="s">
        <v>18</v>
      </c>
      <c r="E95" s="16" t="s">
        <v>19</v>
      </c>
      <c r="F95" s="16" t="s">
        <v>20</v>
      </c>
      <c r="G95" s="16" t="s">
        <v>21</v>
      </c>
      <c r="H95" s="16" t="s">
        <v>22</v>
      </c>
      <c r="I95" s="16" t="s">
        <v>23</v>
      </c>
      <c r="J95" s="16" t="s">
        <v>24</v>
      </c>
      <c r="K95" s="16" t="s">
        <v>25</v>
      </c>
      <c r="L95" s="16" t="s">
        <v>23</v>
      </c>
      <c r="M95" s="24" t="s">
        <v>93</v>
      </c>
      <c r="N95" s="23">
        <v>4</v>
      </c>
      <c r="O95" s="23">
        <v>4</v>
      </c>
      <c r="P95" s="23">
        <v>4</v>
      </c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</row>
    <row r="96" spans="1:40" ht="25.5" x14ac:dyDescent="0.25">
      <c r="A96" s="15">
        <v>1</v>
      </c>
      <c r="B96" s="19" t="s">
        <v>16</v>
      </c>
      <c r="C96" s="16" t="s">
        <v>102</v>
      </c>
      <c r="D96" s="20" t="s">
        <v>41</v>
      </c>
      <c r="E96" s="16" t="s">
        <v>19</v>
      </c>
      <c r="F96" s="16" t="s">
        <v>20</v>
      </c>
      <c r="G96" s="16" t="s">
        <v>21</v>
      </c>
      <c r="H96" s="16" t="s">
        <v>22</v>
      </c>
      <c r="I96" s="16" t="s">
        <v>23</v>
      </c>
      <c r="J96" s="16" t="s">
        <v>24</v>
      </c>
      <c r="K96" s="16" t="s">
        <v>25</v>
      </c>
      <c r="L96" s="16" t="s">
        <v>23</v>
      </c>
      <c r="M96" s="24" t="s">
        <v>93</v>
      </c>
      <c r="N96" s="23">
        <v>5</v>
      </c>
      <c r="O96" s="23">
        <v>5</v>
      </c>
      <c r="P96" s="23">
        <v>5</v>
      </c>
      <c r="Q96" s="23">
        <v>5</v>
      </c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</row>
    <row r="97" spans="1:40" ht="25.5" x14ac:dyDescent="0.25">
      <c r="A97" s="15">
        <v>1</v>
      </c>
      <c r="B97" s="19" t="s">
        <v>16</v>
      </c>
      <c r="C97" s="16" t="s">
        <v>103</v>
      </c>
      <c r="D97" s="20" t="s">
        <v>46</v>
      </c>
      <c r="E97" s="16" t="s">
        <v>19</v>
      </c>
      <c r="F97" s="16" t="s">
        <v>20</v>
      </c>
      <c r="G97" s="16" t="s">
        <v>21</v>
      </c>
      <c r="H97" s="16" t="s">
        <v>22</v>
      </c>
      <c r="I97" s="16" t="s">
        <v>23</v>
      </c>
      <c r="J97" s="16" t="s">
        <v>24</v>
      </c>
      <c r="K97" s="16" t="s">
        <v>25</v>
      </c>
      <c r="L97" s="16" t="s">
        <v>23</v>
      </c>
      <c r="M97" s="24" t="s">
        <v>93</v>
      </c>
      <c r="N97" s="23">
        <v>5</v>
      </c>
      <c r="O97" s="23">
        <v>5</v>
      </c>
      <c r="P97" s="23">
        <v>5</v>
      </c>
      <c r="Q97" s="23">
        <v>5</v>
      </c>
      <c r="R97" s="23">
        <v>5</v>
      </c>
      <c r="S97" s="23">
        <v>5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</row>
    <row r="98" spans="1:40" ht="25.5" x14ac:dyDescent="0.25">
      <c r="A98" s="15">
        <v>1</v>
      </c>
      <c r="B98" s="19" t="s">
        <v>16</v>
      </c>
      <c r="C98" s="16" t="s">
        <v>104</v>
      </c>
      <c r="D98" s="20" t="s">
        <v>18</v>
      </c>
      <c r="E98" s="16" t="s">
        <v>19</v>
      </c>
      <c r="F98" s="16" t="s">
        <v>20</v>
      </c>
      <c r="G98" s="16" t="s">
        <v>21</v>
      </c>
      <c r="H98" s="16" t="s">
        <v>22</v>
      </c>
      <c r="I98" s="16" t="s">
        <v>23</v>
      </c>
      <c r="J98" s="16" t="s">
        <v>24</v>
      </c>
      <c r="K98" s="16" t="s">
        <v>25</v>
      </c>
      <c r="L98" s="16" t="s">
        <v>23</v>
      </c>
      <c r="M98" s="24" t="s">
        <v>93</v>
      </c>
      <c r="N98" s="23">
        <v>3</v>
      </c>
      <c r="O98" s="23">
        <v>3</v>
      </c>
      <c r="P98" s="23">
        <v>3</v>
      </c>
      <c r="Q98" s="23">
        <v>3</v>
      </c>
      <c r="R98" s="23">
        <v>3</v>
      </c>
      <c r="S98" s="23">
        <v>3</v>
      </c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</row>
    <row r="99" spans="1:40" ht="25.5" x14ac:dyDescent="0.25">
      <c r="A99" s="15">
        <v>1</v>
      </c>
      <c r="B99" s="19" t="s">
        <v>16</v>
      </c>
      <c r="C99" s="16" t="s">
        <v>105</v>
      </c>
      <c r="D99" s="20" t="s">
        <v>46</v>
      </c>
      <c r="E99" s="16" t="s">
        <v>19</v>
      </c>
      <c r="F99" s="16" t="s">
        <v>20</v>
      </c>
      <c r="G99" s="16" t="s">
        <v>21</v>
      </c>
      <c r="H99" s="16" t="s">
        <v>22</v>
      </c>
      <c r="I99" s="16" t="s">
        <v>23</v>
      </c>
      <c r="J99" s="16" t="s">
        <v>24</v>
      </c>
      <c r="K99" s="16" t="s">
        <v>25</v>
      </c>
      <c r="L99" s="16" t="s">
        <v>23</v>
      </c>
      <c r="M99" s="24" t="s">
        <v>93</v>
      </c>
      <c r="N99" s="23">
        <v>4</v>
      </c>
      <c r="O99" s="23">
        <v>4</v>
      </c>
      <c r="P99" s="23">
        <v>4</v>
      </c>
      <c r="Q99" s="23">
        <v>4</v>
      </c>
      <c r="R99" s="23">
        <v>4</v>
      </c>
      <c r="S99" s="23">
        <v>4</v>
      </c>
      <c r="T99" s="23">
        <v>4</v>
      </c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</row>
    <row r="100" spans="1:40" ht="25.5" x14ac:dyDescent="0.25">
      <c r="A100" s="15">
        <v>1</v>
      </c>
      <c r="B100" s="19" t="s">
        <v>16</v>
      </c>
      <c r="C100" s="16" t="s">
        <v>106</v>
      </c>
      <c r="D100" s="20" t="s">
        <v>41</v>
      </c>
      <c r="E100" s="16" t="s">
        <v>19</v>
      </c>
      <c r="F100" s="16" t="s">
        <v>20</v>
      </c>
      <c r="G100" s="16" t="s">
        <v>21</v>
      </c>
      <c r="H100" s="16" t="s">
        <v>22</v>
      </c>
      <c r="I100" s="16" t="s">
        <v>23</v>
      </c>
      <c r="J100" s="16" t="s">
        <v>24</v>
      </c>
      <c r="K100" s="16" t="s">
        <v>25</v>
      </c>
      <c r="L100" s="16" t="s">
        <v>23</v>
      </c>
      <c r="M100" s="24" t="s">
        <v>93</v>
      </c>
      <c r="N100" s="23">
        <v>5</v>
      </c>
      <c r="O100" s="23">
        <v>5</v>
      </c>
      <c r="P100" s="23">
        <v>5</v>
      </c>
      <c r="Q100" s="23">
        <v>5</v>
      </c>
      <c r="R100" s="23">
        <v>5</v>
      </c>
      <c r="S100" s="23">
        <v>5</v>
      </c>
      <c r="T100" s="23">
        <v>5</v>
      </c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</row>
    <row r="101" spans="1:40" ht="25.5" x14ac:dyDescent="0.25">
      <c r="A101" s="15">
        <v>1</v>
      </c>
      <c r="B101" s="19" t="s">
        <v>16</v>
      </c>
      <c r="C101" s="16" t="s">
        <v>107</v>
      </c>
      <c r="D101" s="20" t="s">
        <v>41</v>
      </c>
      <c r="E101" s="16" t="s">
        <v>19</v>
      </c>
      <c r="F101" s="16" t="s">
        <v>20</v>
      </c>
      <c r="G101" s="16" t="s">
        <v>21</v>
      </c>
      <c r="H101" s="16" t="s">
        <v>22</v>
      </c>
      <c r="I101" s="16" t="s">
        <v>23</v>
      </c>
      <c r="J101" s="16" t="s">
        <v>24</v>
      </c>
      <c r="K101" s="16" t="s">
        <v>25</v>
      </c>
      <c r="L101" s="16" t="s">
        <v>23</v>
      </c>
      <c r="M101" s="24" t="s">
        <v>93</v>
      </c>
      <c r="N101" s="23">
        <v>3</v>
      </c>
      <c r="O101" s="23">
        <v>3</v>
      </c>
      <c r="P101" s="23">
        <v>3</v>
      </c>
      <c r="Q101" s="23">
        <v>3</v>
      </c>
      <c r="R101" s="23">
        <v>3</v>
      </c>
      <c r="S101" s="23">
        <v>3</v>
      </c>
      <c r="T101" s="23">
        <v>3</v>
      </c>
      <c r="U101" s="23">
        <v>3</v>
      </c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</row>
    <row r="102" spans="1:40" ht="25.5" x14ac:dyDescent="0.25">
      <c r="A102" s="15">
        <v>1</v>
      </c>
      <c r="B102" s="19" t="s">
        <v>16</v>
      </c>
      <c r="C102" s="16" t="s">
        <v>108</v>
      </c>
      <c r="D102" s="20" t="s">
        <v>41</v>
      </c>
      <c r="E102" s="16" t="s">
        <v>19</v>
      </c>
      <c r="F102" s="16" t="s">
        <v>20</v>
      </c>
      <c r="G102" s="16" t="s">
        <v>21</v>
      </c>
      <c r="H102" s="16" t="s">
        <v>22</v>
      </c>
      <c r="I102" s="16" t="s">
        <v>23</v>
      </c>
      <c r="J102" s="16" t="s">
        <v>24</v>
      </c>
      <c r="K102" s="16" t="s">
        <v>25</v>
      </c>
      <c r="L102" s="16" t="s">
        <v>23</v>
      </c>
      <c r="M102" s="24" t="s">
        <v>93</v>
      </c>
      <c r="N102" s="23">
        <v>5</v>
      </c>
      <c r="O102" s="23">
        <v>5</v>
      </c>
      <c r="P102" s="23">
        <v>5</v>
      </c>
      <c r="Q102" s="23">
        <v>5</v>
      </c>
      <c r="R102" s="23">
        <v>5</v>
      </c>
      <c r="S102" s="23">
        <v>5</v>
      </c>
      <c r="T102" s="23">
        <v>5</v>
      </c>
      <c r="U102" s="23">
        <v>5</v>
      </c>
      <c r="V102" s="23">
        <v>5</v>
      </c>
      <c r="W102" s="23">
        <v>5</v>
      </c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</row>
    <row r="103" spans="1:40" ht="25.5" x14ac:dyDescent="0.25">
      <c r="A103" s="15">
        <v>1</v>
      </c>
      <c r="B103" s="19" t="s">
        <v>16</v>
      </c>
      <c r="C103" s="16" t="s">
        <v>109</v>
      </c>
      <c r="D103" s="20" t="s">
        <v>18</v>
      </c>
      <c r="E103" s="16" t="s">
        <v>19</v>
      </c>
      <c r="F103" s="16" t="s">
        <v>20</v>
      </c>
      <c r="G103" s="16" t="s">
        <v>21</v>
      </c>
      <c r="H103" s="16" t="s">
        <v>22</v>
      </c>
      <c r="I103" s="16" t="s">
        <v>23</v>
      </c>
      <c r="J103" s="16" t="s">
        <v>24</v>
      </c>
      <c r="K103" s="16" t="s">
        <v>25</v>
      </c>
      <c r="L103" s="16" t="s">
        <v>23</v>
      </c>
      <c r="M103" s="24" t="s">
        <v>93</v>
      </c>
      <c r="N103" s="23">
        <v>4</v>
      </c>
      <c r="O103" s="23">
        <v>4</v>
      </c>
      <c r="P103" s="23">
        <v>4</v>
      </c>
      <c r="Q103" s="23">
        <v>4</v>
      </c>
      <c r="R103" s="23">
        <v>4</v>
      </c>
      <c r="S103" s="23">
        <v>4</v>
      </c>
      <c r="T103" s="23">
        <v>4</v>
      </c>
      <c r="U103" s="23">
        <v>4</v>
      </c>
      <c r="V103" s="23">
        <v>4</v>
      </c>
      <c r="W103" s="23">
        <v>4</v>
      </c>
      <c r="X103" s="23">
        <v>4</v>
      </c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</row>
    <row r="104" spans="1:40" ht="25.5" x14ac:dyDescent="0.25">
      <c r="A104" s="15">
        <v>1</v>
      </c>
      <c r="B104" s="19" t="s">
        <v>16</v>
      </c>
      <c r="C104" s="16" t="s">
        <v>110</v>
      </c>
      <c r="D104" s="20" t="s">
        <v>41</v>
      </c>
      <c r="E104" s="16" t="s">
        <v>19</v>
      </c>
      <c r="F104" s="16" t="s">
        <v>20</v>
      </c>
      <c r="G104" s="16" t="s">
        <v>21</v>
      </c>
      <c r="H104" s="16" t="s">
        <v>22</v>
      </c>
      <c r="I104" s="16" t="s">
        <v>23</v>
      </c>
      <c r="J104" s="16" t="s">
        <v>24</v>
      </c>
      <c r="K104" s="16" t="s">
        <v>25</v>
      </c>
      <c r="L104" s="16" t="s">
        <v>23</v>
      </c>
      <c r="M104" s="24" t="s">
        <v>93</v>
      </c>
      <c r="N104" s="23">
        <v>3</v>
      </c>
      <c r="O104" s="23">
        <v>3</v>
      </c>
      <c r="P104" s="23">
        <v>3</v>
      </c>
      <c r="Q104" s="23">
        <v>3</v>
      </c>
      <c r="R104" s="23">
        <v>3</v>
      </c>
      <c r="S104" s="23">
        <v>3</v>
      </c>
      <c r="T104" s="23">
        <v>3</v>
      </c>
      <c r="U104" s="23">
        <v>3</v>
      </c>
      <c r="V104" s="23">
        <v>3</v>
      </c>
      <c r="W104" s="23">
        <v>3</v>
      </c>
      <c r="X104" s="23">
        <v>3</v>
      </c>
      <c r="Y104" s="23">
        <v>3</v>
      </c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</row>
    <row r="105" spans="1:40" ht="25.5" x14ac:dyDescent="0.25">
      <c r="A105" s="15">
        <v>1</v>
      </c>
      <c r="B105" s="19" t="s">
        <v>16</v>
      </c>
      <c r="C105" s="16" t="s">
        <v>111</v>
      </c>
      <c r="D105" s="20" t="s">
        <v>18</v>
      </c>
      <c r="E105" s="16" t="s">
        <v>19</v>
      </c>
      <c r="F105" s="16" t="s">
        <v>20</v>
      </c>
      <c r="G105" s="16" t="s">
        <v>21</v>
      </c>
      <c r="H105" s="16" t="s">
        <v>22</v>
      </c>
      <c r="I105" s="16" t="s">
        <v>23</v>
      </c>
      <c r="J105" s="16" t="s">
        <v>24</v>
      </c>
      <c r="K105" s="16" t="s">
        <v>25</v>
      </c>
      <c r="L105" s="16" t="s">
        <v>23</v>
      </c>
      <c r="M105" s="24" t="s">
        <v>93</v>
      </c>
      <c r="N105" s="23">
        <v>3</v>
      </c>
      <c r="O105" s="23">
        <v>3</v>
      </c>
      <c r="P105" s="23">
        <v>3</v>
      </c>
      <c r="Q105" s="23">
        <v>3</v>
      </c>
      <c r="R105" s="23">
        <v>3</v>
      </c>
      <c r="S105" s="23">
        <v>3</v>
      </c>
      <c r="T105" s="23">
        <v>3</v>
      </c>
      <c r="U105" s="23">
        <v>3</v>
      </c>
      <c r="V105" s="23">
        <v>3</v>
      </c>
      <c r="W105" s="23">
        <v>3</v>
      </c>
      <c r="X105" s="23">
        <v>3</v>
      </c>
      <c r="Y105" s="23">
        <v>3</v>
      </c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</row>
    <row r="106" spans="1:40" ht="25.5" x14ac:dyDescent="0.25">
      <c r="A106" s="15">
        <v>1</v>
      </c>
      <c r="B106" s="19" t="s">
        <v>16</v>
      </c>
      <c r="C106" s="16" t="s">
        <v>112</v>
      </c>
      <c r="D106" s="20" t="s">
        <v>18</v>
      </c>
      <c r="E106" s="16" t="s">
        <v>19</v>
      </c>
      <c r="F106" s="16" t="s">
        <v>20</v>
      </c>
      <c r="G106" s="16" t="s">
        <v>21</v>
      </c>
      <c r="H106" s="16" t="s">
        <v>22</v>
      </c>
      <c r="I106" s="16" t="s">
        <v>23</v>
      </c>
      <c r="J106" s="16" t="s">
        <v>24</v>
      </c>
      <c r="K106" s="16" t="s">
        <v>25</v>
      </c>
      <c r="L106" s="16" t="s">
        <v>23</v>
      </c>
      <c r="M106" s="24" t="s">
        <v>93</v>
      </c>
      <c r="N106" s="23">
        <v>5</v>
      </c>
      <c r="O106" s="23">
        <v>5</v>
      </c>
      <c r="P106" s="23">
        <v>5</v>
      </c>
      <c r="Q106" s="23">
        <v>5</v>
      </c>
      <c r="R106" s="23">
        <v>5</v>
      </c>
      <c r="S106" s="23">
        <v>5</v>
      </c>
      <c r="T106" s="23">
        <v>5</v>
      </c>
      <c r="U106" s="23">
        <v>5</v>
      </c>
      <c r="V106" s="23">
        <v>5</v>
      </c>
      <c r="W106" s="23">
        <v>5</v>
      </c>
      <c r="X106" s="23">
        <v>5</v>
      </c>
      <c r="Y106" s="23">
        <v>5</v>
      </c>
      <c r="Z106" s="23">
        <v>5</v>
      </c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</row>
    <row r="107" spans="1:40" ht="25.5" x14ac:dyDescent="0.25">
      <c r="A107" s="15">
        <v>1</v>
      </c>
      <c r="B107" s="19" t="s">
        <v>16</v>
      </c>
      <c r="C107" s="16" t="s">
        <v>113</v>
      </c>
      <c r="D107" s="20" t="s">
        <v>18</v>
      </c>
      <c r="E107" s="16" t="s">
        <v>19</v>
      </c>
      <c r="F107" s="16" t="s">
        <v>20</v>
      </c>
      <c r="G107" s="16" t="s">
        <v>21</v>
      </c>
      <c r="H107" s="16" t="s">
        <v>22</v>
      </c>
      <c r="I107" s="16" t="s">
        <v>23</v>
      </c>
      <c r="J107" s="16" t="s">
        <v>24</v>
      </c>
      <c r="K107" s="16" t="s">
        <v>25</v>
      </c>
      <c r="L107" s="16" t="s">
        <v>23</v>
      </c>
      <c r="M107" s="24" t="s">
        <v>93</v>
      </c>
      <c r="N107" s="23">
        <v>5</v>
      </c>
      <c r="O107" s="23">
        <v>5</v>
      </c>
      <c r="P107" s="23">
        <v>5</v>
      </c>
      <c r="Q107" s="23">
        <v>5</v>
      </c>
      <c r="R107" s="23">
        <v>5</v>
      </c>
      <c r="S107" s="23">
        <v>5</v>
      </c>
      <c r="T107" s="23">
        <v>5</v>
      </c>
      <c r="U107" s="23">
        <v>5</v>
      </c>
      <c r="V107" s="23">
        <v>5</v>
      </c>
      <c r="W107" s="23">
        <v>5</v>
      </c>
      <c r="X107" s="23">
        <v>5</v>
      </c>
      <c r="Y107" s="23">
        <v>5</v>
      </c>
      <c r="Z107" s="23">
        <v>5</v>
      </c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</row>
    <row r="108" spans="1:40" ht="25.5" x14ac:dyDescent="0.25">
      <c r="A108" s="15">
        <v>1</v>
      </c>
      <c r="B108" s="19" t="s">
        <v>16</v>
      </c>
      <c r="C108" s="16" t="s">
        <v>114</v>
      </c>
      <c r="D108" s="20" t="s">
        <v>41</v>
      </c>
      <c r="E108" s="16" t="s">
        <v>19</v>
      </c>
      <c r="F108" s="16" t="s">
        <v>20</v>
      </c>
      <c r="G108" s="16" t="s">
        <v>21</v>
      </c>
      <c r="H108" s="16" t="s">
        <v>22</v>
      </c>
      <c r="I108" s="16" t="s">
        <v>23</v>
      </c>
      <c r="J108" s="16" t="s">
        <v>24</v>
      </c>
      <c r="K108" s="16" t="s">
        <v>25</v>
      </c>
      <c r="L108" s="16" t="s">
        <v>23</v>
      </c>
      <c r="M108" s="24" t="s">
        <v>93</v>
      </c>
      <c r="N108" s="23">
        <v>5</v>
      </c>
      <c r="O108" s="23">
        <v>5</v>
      </c>
      <c r="P108" s="23">
        <v>5</v>
      </c>
      <c r="Q108" s="23">
        <v>5</v>
      </c>
      <c r="R108" s="23">
        <v>5</v>
      </c>
      <c r="S108" s="23">
        <v>5</v>
      </c>
      <c r="T108" s="23">
        <v>5</v>
      </c>
      <c r="U108" s="23">
        <v>5</v>
      </c>
      <c r="V108" s="23">
        <v>5</v>
      </c>
      <c r="W108" s="23">
        <v>5</v>
      </c>
      <c r="X108" s="23">
        <v>5</v>
      </c>
      <c r="Y108" s="23">
        <v>5</v>
      </c>
      <c r="Z108" s="23">
        <v>5</v>
      </c>
      <c r="AA108" s="23">
        <v>5</v>
      </c>
      <c r="AB108" s="23">
        <v>5</v>
      </c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</row>
    <row r="109" spans="1:40" ht="25.5" x14ac:dyDescent="0.25">
      <c r="A109" s="15">
        <v>1</v>
      </c>
      <c r="B109" s="19" t="s">
        <v>16</v>
      </c>
      <c r="C109" s="16" t="s">
        <v>115</v>
      </c>
      <c r="D109" s="20" t="s">
        <v>41</v>
      </c>
      <c r="E109" s="16" t="s">
        <v>19</v>
      </c>
      <c r="F109" s="16" t="s">
        <v>20</v>
      </c>
      <c r="G109" s="16" t="s">
        <v>21</v>
      </c>
      <c r="H109" s="16" t="s">
        <v>22</v>
      </c>
      <c r="I109" s="16" t="s">
        <v>23</v>
      </c>
      <c r="J109" s="16" t="s">
        <v>24</v>
      </c>
      <c r="K109" s="16" t="s">
        <v>25</v>
      </c>
      <c r="L109" s="16" t="s">
        <v>23</v>
      </c>
      <c r="M109" s="24" t="s">
        <v>93</v>
      </c>
      <c r="N109" s="23">
        <v>4</v>
      </c>
      <c r="O109" s="23">
        <v>4</v>
      </c>
      <c r="P109" s="23">
        <v>4</v>
      </c>
      <c r="Q109" s="23">
        <v>4</v>
      </c>
      <c r="R109" s="23">
        <v>4</v>
      </c>
      <c r="S109" s="23">
        <v>4</v>
      </c>
      <c r="T109" s="23">
        <v>4</v>
      </c>
      <c r="U109" s="23">
        <v>4</v>
      </c>
      <c r="V109" s="23">
        <v>4</v>
      </c>
      <c r="W109" s="23">
        <v>4</v>
      </c>
      <c r="X109" s="23">
        <v>4</v>
      </c>
      <c r="Y109" s="23">
        <v>4</v>
      </c>
      <c r="Z109" s="23">
        <v>4</v>
      </c>
      <c r="AA109" s="23">
        <v>4</v>
      </c>
      <c r="AB109" s="23">
        <v>4</v>
      </c>
      <c r="AC109" s="23">
        <v>4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</row>
    <row r="110" spans="1:40" ht="25.5" x14ac:dyDescent="0.25">
      <c r="A110" s="15">
        <v>1</v>
      </c>
      <c r="B110" s="19" t="s">
        <v>16</v>
      </c>
      <c r="C110" s="16" t="s">
        <v>116</v>
      </c>
      <c r="D110" s="20" t="s">
        <v>18</v>
      </c>
      <c r="E110" s="16" t="s">
        <v>19</v>
      </c>
      <c r="F110" s="16" t="s">
        <v>20</v>
      </c>
      <c r="G110" s="16" t="s">
        <v>21</v>
      </c>
      <c r="H110" s="16" t="s">
        <v>22</v>
      </c>
      <c r="I110" s="16" t="s">
        <v>23</v>
      </c>
      <c r="J110" s="16" t="s">
        <v>24</v>
      </c>
      <c r="K110" s="16" t="s">
        <v>25</v>
      </c>
      <c r="L110" s="16" t="s">
        <v>23</v>
      </c>
      <c r="M110" s="24" t="s">
        <v>93</v>
      </c>
      <c r="N110" s="23">
        <v>4</v>
      </c>
      <c r="O110" s="23">
        <v>4</v>
      </c>
      <c r="P110" s="23">
        <v>4</v>
      </c>
      <c r="Q110" s="23">
        <v>4</v>
      </c>
      <c r="R110" s="23">
        <v>4</v>
      </c>
      <c r="S110" s="23">
        <v>4</v>
      </c>
      <c r="T110" s="23">
        <v>4</v>
      </c>
      <c r="U110" s="23">
        <v>4</v>
      </c>
      <c r="V110" s="23">
        <v>4</v>
      </c>
      <c r="W110" s="23">
        <v>4</v>
      </c>
      <c r="X110" s="23">
        <v>4</v>
      </c>
      <c r="Y110" s="23">
        <v>4</v>
      </c>
      <c r="Z110" s="23">
        <v>4</v>
      </c>
      <c r="AA110" s="23">
        <v>4</v>
      </c>
      <c r="AB110" s="23">
        <v>4</v>
      </c>
      <c r="AC110" s="23">
        <v>4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</row>
    <row r="111" spans="1:40" ht="25.5" x14ac:dyDescent="0.25">
      <c r="A111" s="15">
        <v>1</v>
      </c>
      <c r="B111" s="19" t="s">
        <v>16</v>
      </c>
      <c r="C111" s="16" t="s">
        <v>117</v>
      </c>
      <c r="D111" s="20" t="s">
        <v>46</v>
      </c>
      <c r="E111" s="16" t="s">
        <v>19</v>
      </c>
      <c r="F111" s="16" t="s">
        <v>20</v>
      </c>
      <c r="G111" s="16" t="s">
        <v>21</v>
      </c>
      <c r="H111" s="16" t="s">
        <v>22</v>
      </c>
      <c r="I111" s="16" t="s">
        <v>23</v>
      </c>
      <c r="J111" s="16" t="s">
        <v>24</v>
      </c>
      <c r="K111" s="16" t="s">
        <v>25</v>
      </c>
      <c r="L111" s="16" t="s">
        <v>23</v>
      </c>
      <c r="M111" s="24" t="s">
        <v>93</v>
      </c>
      <c r="N111" s="23">
        <v>3</v>
      </c>
      <c r="O111" s="23">
        <v>3</v>
      </c>
      <c r="P111" s="23">
        <v>3</v>
      </c>
      <c r="Q111" s="23">
        <v>3</v>
      </c>
      <c r="R111" s="23">
        <v>3</v>
      </c>
      <c r="S111" s="23">
        <v>3</v>
      </c>
      <c r="T111" s="23">
        <v>3</v>
      </c>
      <c r="U111" s="23">
        <v>3</v>
      </c>
      <c r="V111" s="23">
        <v>3</v>
      </c>
      <c r="W111" s="23">
        <v>3</v>
      </c>
      <c r="X111" s="23">
        <v>3</v>
      </c>
      <c r="Y111" s="23">
        <v>3</v>
      </c>
      <c r="Z111" s="23">
        <v>3</v>
      </c>
      <c r="AA111" s="23">
        <v>3</v>
      </c>
      <c r="AB111" s="23">
        <v>3</v>
      </c>
      <c r="AC111" s="23">
        <v>3</v>
      </c>
      <c r="AD111" s="23">
        <v>3</v>
      </c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</row>
    <row r="112" spans="1:40" ht="25.5" x14ac:dyDescent="0.25">
      <c r="A112" s="15">
        <v>1</v>
      </c>
      <c r="B112" s="19" t="s">
        <v>16</v>
      </c>
      <c r="C112" s="16" t="s">
        <v>118</v>
      </c>
      <c r="D112" s="20" t="s">
        <v>41</v>
      </c>
      <c r="E112" s="16" t="s">
        <v>19</v>
      </c>
      <c r="F112" s="16" t="s">
        <v>20</v>
      </c>
      <c r="G112" s="16" t="s">
        <v>21</v>
      </c>
      <c r="H112" s="16" t="s">
        <v>22</v>
      </c>
      <c r="I112" s="16" t="s">
        <v>23</v>
      </c>
      <c r="J112" s="16" t="s">
        <v>24</v>
      </c>
      <c r="K112" s="16" t="s">
        <v>25</v>
      </c>
      <c r="L112" s="16" t="s">
        <v>23</v>
      </c>
      <c r="M112" s="24" t="s">
        <v>93</v>
      </c>
      <c r="N112" s="23">
        <v>4</v>
      </c>
      <c r="O112" s="23">
        <v>4</v>
      </c>
      <c r="P112" s="23">
        <v>4</v>
      </c>
      <c r="Q112" s="23">
        <v>4</v>
      </c>
      <c r="R112" s="23">
        <v>4</v>
      </c>
      <c r="S112" s="23">
        <v>4</v>
      </c>
      <c r="T112" s="23">
        <v>4</v>
      </c>
      <c r="U112" s="23">
        <v>4</v>
      </c>
      <c r="V112" s="23">
        <v>4</v>
      </c>
      <c r="W112" s="23">
        <v>4</v>
      </c>
      <c r="X112" s="23">
        <v>4</v>
      </c>
      <c r="Y112" s="23">
        <v>4</v>
      </c>
      <c r="Z112" s="23">
        <v>4</v>
      </c>
      <c r="AA112" s="23">
        <v>4</v>
      </c>
      <c r="AB112" s="23">
        <v>4</v>
      </c>
      <c r="AC112" s="23">
        <v>4</v>
      </c>
      <c r="AD112" s="23">
        <v>4</v>
      </c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</row>
    <row r="113" spans="1:40" ht="25.5" x14ac:dyDescent="0.25">
      <c r="A113" s="15">
        <v>1</v>
      </c>
      <c r="B113" s="19" t="s">
        <v>16</v>
      </c>
      <c r="C113" s="16" t="s">
        <v>119</v>
      </c>
      <c r="D113" s="20" t="s">
        <v>18</v>
      </c>
      <c r="E113" s="16" t="s">
        <v>19</v>
      </c>
      <c r="F113" s="16" t="s">
        <v>20</v>
      </c>
      <c r="G113" s="16" t="s">
        <v>21</v>
      </c>
      <c r="H113" s="16" t="s">
        <v>22</v>
      </c>
      <c r="I113" s="16" t="s">
        <v>23</v>
      </c>
      <c r="J113" s="16" t="s">
        <v>24</v>
      </c>
      <c r="K113" s="16" t="s">
        <v>25</v>
      </c>
      <c r="L113" s="16" t="s">
        <v>23</v>
      </c>
      <c r="M113" s="24" t="s">
        <v>93</v>
      </c>
      <c r="N113" s="23">
        <v>3</v>
      </c>
      <c r="O113" s="23">
        <v>3</v>
      </c>
      <c r="P113" s="23">
        <v>3</v>
      </c>
      <c r="Q113" s="23">
        <v>3</v>
      </c>
      <c r="R113" s="23">
        <v>3</v>
      </c>
      <c r="S113" s="23">
        <v>3</v>
      </c>
      <c r="T113" s="23">
        <v>3</v>
      </c>
      <c r="U113" s="23">
        <v>3</v>
      </c>
      <c r="V113" s="23">
        <v>3</v>
      </c>
      <c r="W113" s="23">
        <v>3</v>
      </c>
      <c r="X113" s="23">
        <v>3</v>
      </c>
      <c r="Y113" s="23">
        <v>3</v>
      </c>
      <c r="Z113" s="23">
        <v>3</v>
      </c>
      <c r="AA113" s="23">
        <v>3</v>
      </c>
      <c r="AB113" s="23">
        <v>3</v>
      </c>
      <c r="AC113" s="23">
        <v>3</v>
      </c>
      <c r="AD113" s="23">
        <v>3</v>
      </c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</row>
    <row r="114" spans="1:40" ht="38.25" x14ac:dyDescent="0.25">
      <c r="A114" s="15">
        <v>1</v>
      </c>
      <c r="B114" s="19" t="s">
        <v>120</v>
      </c>
      <c r="C114" s="16" t="s">
        <v>121</v>
      </c>
      <c r="D114" s="20" t="s">
        <v>41</v>
      </c>
      <c r="E114" s="16" t="s">
        <v>19</v>
      </c>
      <c r="F114" s="16" t="s">
        <v>20</v>
      </c>
      <c r="G114" s="16" t="s">
        <v>21</v>
      </c>
      <c r="H114" s="16" t="s">
        <v>22</v>
      </c>
      <c r="I114" s="16" t="s">
        <v>23</v>
      </c>
      <c r="J114" s="16" t="s">
        <v>24</v>
      </c>
      <c r="K114" s="16" t="s">
        <v>25</v>
      </c>
      <c r="L114" s="16" t="s">
        <v>23</v>
      </c>
      <c r="M114" s="24" t="s">
        <v>93</v>
      </c>
      <c r="N114" s="23">
        <v>4</v>
      </c>
      <c r="O114" s="23">
        <v>4</v>
      </c>
      <c r="P114" s="23">
        <v>4</v>
      </c>
      <c r="Q114" s="23">
        <v>4</v>
      </c>
      <c r="R114" s="23">
        <v>4</v>
      </c>
      <c r="S114" s="23">
        <v>4</v>
      </c>
      <c r="T114" s="23">
        <v>4</v>
      </c>
      <c r="U114" s="23">
        <v>4</v>
      </c>
      <c r="V114" s="23">
        <v>4</v>
      </c>
      <c r="W114" s="23">
        <v>4</v>
      </c>
      <c r="X114" s="23">
        <v>4</v>
      </c>
      <c r="Y114" s="23">
        <v>4</v>
      </c>
      <c r="Z114" s="23">
        <v>4</v>
      </c>
      <c r="AA114" s="23">
        <v>4</v>
      </c>
      <c r="AB114" s="23">
        <v>4</v>
      </c>
      <c r="AC114" s="23">
        <v>4</v>
      </c>
      <c r="AD114" s="23">
        <v>4</v>
      </c>
      <c r="AE114" s="23">
        <v>4</v>
      </c>
      <c r="AF114" s="23"/>
      <c r="AG114" s="23"/>
      <c r="AH114" s="23"/>
      <c r="AI114" s="23"/>
      <c r="AJ114" s="23"/>
      <c r="AK114" s="23"/>
      <c r="AL114" s="23"/>
      <c r="AM114" s="23"/>
      <c r="AN114" s="23"/>
    </row>
    <row r="115" spans="1:40" ht="38.25" x14ac:dyDescent="0.25">
      <c r="A115" s="15">
        <v>1</v>
      </c>
      <c r="B115" s="19" t="s">
        <v>120</v>
      </c>
      <c r="C115" s="16" t="s">
        <v>122</v>
      </c>
      <c r="D115" s="20" t="s">
        <v>46</v>
      </c>
      <c r="E115" s="16" t="s">
        <v>19</v>
      </c>
      <c r="F115" s="16" t="s">
        <v>20</v>
      </c>
      <c r="G115" s="16" t="s">
        <v>21</v>
      </c>
      <c r="H115" s="16" t="s">
        <v>22</v>
      </c>
      <c r="I115" s="16" t="s">
        <v>23</v>
      </c>
      <c r="J115" s="16" t="s">
        <v>24</v>
      </c>
      <c r="K115" s="16" t="s">
        <v>25</v>
      </c>
      <c r="L115" s="16" t="s">
        <v>23</v>
      </c>
      <c r="M115" s="24" t="s">
        <v>93</v>
      </c>
      <c r="N115" s="23">
        <v>4</v>
      </c>
      <c r="O115" s="23">
        <v>4</v>
      </c>
      <c r="P115" s="23">
        <v>4</v>
      </c>
      <c r="Q115" s="23">
        <v>4</v>
      </c>
      <c r="R115" s="23">
        <v>4</v>
      </c>
      <c r="S115" s="23">
        <v>4</v>
      </c>
      <c r="T115" s="23">
        <v>4</v>
      </c>
      <c r="U115" s="23">
        <v>4</v>
      </c>
      <c r="V115" s="23">
        <v>4</v>
      </c>
      <c r="W115" s="23">
        <v>4</v>
      </c>
      <c r="X115" s="23">
        <v>4</v>
      </c>
      <c r="Y115" s="23">
        <v>4</v>
      </c>
      <c r="Z115" s="23">
        <v>4</v>
      </c>
      <c r="AA115" s="23">
        <v>4</v>
      </c>
      <c r="AB115" s="23">
        <v>4</v>
      </c>
      <c r="AC115" s="23">
        <v>4</v>
      </c>
      <c r="AD115" s="23">
        <v>4</v>
      </c>
      <c r="AE115" s="23">
        <v>4</v>
      </c>
      <c r="AF115" s="23"/>
      <c r="AG115" s="23"/>
      <c r="AH115" s="23"/>
      <c r="AI115" s="23"/>
      <c r="AJ115" s="23"/>
      <c r="AK115" s="23"/>
      <c r="AL115" s="23"/>
      <c r="AM115" s="23"/>
      <c r="AN115" s="23"/>
    </row>
    <row r="116" spans="1:40" ht="38.25" x14ac:dyDescent="0.25">
      <c r="A116" s="15">
        <v>1</v>
      </c>
      <c r="B116" s="19" t="s">
        <v>120</v>
      </c>
      <c r="C116" s="16" t="s">
        <v>123</v>
      </c>
      <c r="D116" s="20" t="s">
        <v>68</v>
      </c>
      <c r="E116" s="16" t="s">
        <v>19</v>
      </c>
      <c r="F116" s="16" t="s">
        <v>20</v>
      </c>
      <c r="G116" s="16" t="s">
        <v>21</v>
      </c>
      <c r="H116" s="16" t="s">
        <v>22</v>
      </c>
      <c r="I116" s="16" t="s">
        <v>23</v>
      </c>
      <c r="J116" s="16" t="s">
        <v>24</v>
      </c>
      <c r="K116" s="16" t="s">
        <v>25</v>
      </c>
      <c r="L116" s="16" t="s">
        <v>23</v>
      </c>
      <c r="M116" s="24" t="s">
        <v>93</v>
      </c>
      <c r="N116" s="23">
        <v>3</v>
      </c>
      <c r="O116" s="23">
        <v>3</v>
      </c>
      <c r="P116" s="23">
        <v>3</v>
      </c>
      <c r="Q116" s="23">
        <v>3</v>
      </c>
      <c r="R116" s="23">
        <v>3</v>
      </c>
      <c r="S116" s="23">
        <v>3</v>
      </c>
      <c r="T116" s="23">
        <v>3</v>
      </c>
      <c r="U116" s="23">
        <v>3</v>
      </c>
      <c r="V116" s="23">
        <v>3</v>
      </c>
      <c r="W116" s="23">
        <v>3</v>
      </c>
      <c r="X116" s="23">
        <v>3</v>
      </c>
      <c r="Y116" s="23">
        <v>3</v>
      </c>
      <c r="Z116" s="23">
        <v>3</v>
      </c>
      <c r="AA116" s="23">
        <v>3</v>
      </c>
      <c r="AB116" s="23">
        <v>3</v>
      </c>
      <c r="AC116" s="23">
        <v>3</v>
      </c>
      <c r="AD116" s="23">
        <v>3</v>
      </c>
      <c r="AE116" s="23">
        <v>3</v>
      </c>
      <c r="AF116" s="23">
        <v>3</v>
      </c>
      <c r="AG116" s="23"/>
      <c r="AH116" s="23"/>
      <c r="AI116" s="23"/>
      <c r="AJ116" s="23"/>
      <c r="AK116" s="23"/>
      <c r="AL116" s="23"/>
      <c r="AM116" s="23"/>
      <c r="AN116" s="23"/>
    </row>
    <row r="117" spans="1:40" ht="38.25" x14ac:dyDescent="0.25">
      <c r="A117" s="15">
        <v>1</v>
      </c>
      <c r="B117" s="19" t="s">
        <v>120</v>
      </c>
      <c r="C117" s="16" t="s">
        <v>124</v>
      </c>
      <c r="D117" s="20" t="s">
        <v>41</v>
      </c>
      <c r="E117" s="16" t="s">
        <v>19</v>
      </c>
      <c r="F117" s="16" t="s">
        <v>20</v>
      </c>
      <c r="G117" s="16" t="s">
        <v>21</v>
      </c>
      <c r="H117" s="16" t="s">
        <v>22</v>
      </c>
      <c r="I117" s="16" t="s">
        <v>23</v>
      </c>
      <c r="J117" s="16" t="s">
        <v>24</v>
      </c>
      <c r="K117" s="16" t="s">
        <v>25</v>
      </c>
      <c r="L117" s="16" t="s">
        <v>23</v>
      </c>
      <c r="M117" s="24" t="s">
        <v>93</v>
      </c>
      <c r="N117" s="23">
        <v>3</v>
      </c>
      <c r="O117" s="23">
        <v>3</v>
      </c>
      <c r="P117" s="23">
        <v>3</v>
      </c>
      <c r="Q117" s="23">
        <v>3</v>
      </c>
      <c r="R117" s="23">
        <v>3</v>
      </c>
      <c r="S117" s="23">
        <v>3</v>
      </c>
      <c r="T117" s="23">
        <v>3</v>
      </c>
      <c r="U117" s="23">
        <v>3</v>
      </c>
      <c r="V117" s="23">
        <v>3</v>
      </c>
      <c r="W117" s="23">
        <v>3</v>
      </c>
      <c r="X117" s="23">
        <v>3</v>
      </c>
      <c r="Y117" s="23">
        <v>3</v>
      </c>
      <c r="Z117" s="23">
        <v>3</v>
      </c>
      <c r="AA117" s="23">
        <v>3</v>
      </c>
      <c r="AB117" s="23">
        <v>3</v>
      </c>
      <c r="AC117" s="23">
        <v>3</v>
      </c>
      <c r="AD117" s="23">
        <v>3</v>
      </c>
      <c r="AE117" s="23">
        <v>3</v>
      </c>
      <c r="AF117" s="23">
        <v>3</v>
      </c>
      <c r="AG117" s="23"/>
      <c r="AH117" s="23"/>
      <c r="AI117" s="23"/>
      <c r="AJ117" s="23"/>
      <c r="AK117" s="23"/>
      <c r="AL117" s="23"/>
      <c r="AM117" s="23"/>
      <c r="AN117" s="23"/>
    </row>
    <row r="118" spans="1:40" ht="38.25" x14ac:dyDescent="0.25">
      <c r="A118" s="15">
        <v>1</v>
      </c>
      <c r="B118" s="19" t="s">
        <v>120</v>
      </c>
      <c r="C118" s="16" t="s">
        <v>125</v>
      </c>
      <c r="D118" s="20" t="s">
        <v>41</v>
      </c>
      <c r="E118" s="16" t="s">
        <v>19</v>
      </c>
      <c r="F118" s="16" t="s">
        <v>20</v>
      </c>
      <c r="G118" s="16" t="s">
        <v>21</v>
      </c>
      <c r="H118" s="16" t="s">
        <v>22</v>
      </c>
      <c r="I118" s="16" t="s">
        <v>23</v>
      </c>
      <c r="J118" s="16" t="s">
        <v>24</v>
      </c>
      <c r="K118" s="16" t="s">
        <v>25</v>
      </c>
      <c r="L118" s="16" t="s">
        <v>23</v>
      </c>
      <c r="M118" s="24" t="s">
        <v>93</v>
      </c>
      <c r="N118" s="23">
        <v>3</v>
      </c>
      <c r="O118" s="23">
        <v>3</v>
      </c>
      <c r="P118" s="23">
        <v>3</v>
      </c>
      <c r="Q118" s="23">
        <v>3</v>
      </c>
      <c r="R118" s="23">
        <v>3</v>
      </c>
      <c r="S118" s="23">
        <v>3</v>
      </c>
      <c r="T118" s="23">
        <v>3</v>
      </c>
      <c r="U118" s="23">
        <v>3</v>
      </c>
      <c r="V118" s="23">
        <v>3</v>
      </c>
      <c r="W118" s="23">
        <v>3</v>
      </c>
      <c r="X118" s="23">
        <v>3</v>
      </c>
      <c r="Y118" s="23">
        <v>3</v>
      </c>
      <c r="Z118" s="23">
        <v>3</v>
      </c>
      <c r="AA118" s="23">
        <v>3</v>
      </c>
      <c r="AB118" s="23">
        <v>3</v>
      </c>
      <c r="AC118" s="23">
        <v>3</v>
      </c>
      <c r="AD118" s="23">
        <v>3</v>
      </c>
      <c r="AE118" s="23">
        <v>3</v>
      </c>
      <c r="AF118" s="23">
        <v>3</v>
      </c>
      <c r="AG118" s="23">
        <v>3</v>
      </c>
      <c r="AH118" s="23"/>
      <c r="AI118" s="23"/>
      <c r="AJ118" s="23"/>
      <c r="AK118" s="23"/>
      <c r="AL118" s="23"/>
      <c r="AM118" s="23"/>
      <c r="AN118" s="23"/>
    </row>
    <row r="119" spans="1:40" ht="25.5" x14ac:dyDescent="0.25">
      <c r="A119" s="15">
        <v>1</v>
      </c>
      <c r="B119" s="19" t="s">
        <v>71</v>
      </c>
      <c r="C119" s="16" t="s">
        <v>126</v>
      </c>
      <c r="D119" s="20" t="s">
        <v>18</v>
      </c>
      <c r="E119" s="16" t="s">
        <v>19</v>
      </c>
      <c r="F119" s="16" t="s">
        <v>20</v>
      </c>
      <c r="G119" s="16" t="s">
        <v>21</v>
      </c>
      <c r="H119" s="16" t="s">
        <v>22</v>
      </c>
      <c r="I119" s="16" t="s">
        <v>23</v>
      </c>
      <c r="J119" s="16" t="s">
        <v>24</v>
      </c>
      <c r="K119" s="16" t="s">
        <v>25</v>
      </c>
      <c r="L119" s="16" t="s">
        <v>23</v>
      </c>
      <c r="M119" s="24" t="s">
        <v>93</v>
      </c>
      <c r="N119" s="23">
        <v>5</v>
      </c>
      <c r="O119" s="23">
        <v>5</v>
      </c>
      <c r="P119" s="23">
        <v>5</v>
      </c>
      <c r="Q119" s="23">
        <v>5</v>
      </c>
      <c r="R119" s="23">
        <v>5</v>
      </c>
      <c r="S119" s="23">
        <v>5</v>
      </c>
      <c r="T119" s="23">
        <v>5</v>
      </c>
      <c r="U119" s="23">
        <v>5</v>
      </c>
      <c r="V119" s="23">
        <v>5</v>
      </c>
      <c r="W119" s="23">
        <v>5</v>
      </c>
      <c r="X119" s="23">
        <v>5</v>
      </c>
      <c r="Y119" s="23">
        <v>5</v>
      </c>
      <c r="Z119" s="23">
        <v>5</v>
      </c>
      <c r="AA119" s="23">
        <v>5</v>
      </c>
      <c r="AB119" s="23">
        <v>5</v>
      </c>
      <c r="AC119" s="23">
        <v>5</v>
      </c>
      <c r="AD119" s="23">
        <v>5</v>
      </c>
      <c r="AE119" s="23">
        <v>5</v>
      </c>
      <c r="AF119" s="23">
        <v>5</v>
      </c>
      <c r="AG119" s="23">
        <v>5</v>
      </c>
      <c r="AH119" s="23">
        <v>5</v>
      </c>
      <c r="AI119" s="23">
        <v>5</v>
      </c>
      <c r="AJ119" s="23"/>
      <c r="AK119" s="23"/>
      <c r="AL119" s="23"/>
      <c r="AM119" s="23"/>
      <c r="AN119" s="23"/>
    </row>
    <row r="120" spans="1:40" ht="25.5" x14ac:dyDescent="0.25">
      <c r="A120" s="15">
        <v>1</v>
      </c>
      <c r="B120" s="19" t="s">
        <v>71</v>
      </c>
      <c r="C120" s="16" t="s">
        <v>127</v>
      </c>
      <c r="D120" s="20" t="s">
        <v>41</v>
      </c>
      <c r="E120" s="16" t="s">
        <v>19</v>
      </c>
      <c r="F120" s="16" t="s">
        <v>20</v>
      </c>
      <c r="G120" s="16" t="s">
        <v>21</v>
      </c>
      <c r="H120" s="16" t="s">
        <v>22</v>
      </c>
      <c r="I120" s="16" t="s">
        <v>23</v>
      </c>
      <c r="J120" s="16" t="s">
        <v>24</v>
      </c>
      <c r="K120" s="16" t="s">
        <v>25</v>
      </c>
      <c r="L120" s="16" t="s">
        <v>23</v>
      </c>
      <c r="M120" s="24" t="s">
        <v>93</v>
      </c>
      <c r="N120" s="23">
        <v>5</v>
      </c>
      <c r="O120" s="23">
        <v>5</v>
      </c>
      <c r="P120" s="23">
        <v>5</v>
      </c>
      <c r="Q120" s="23">
        <v>5</v>
      </c>
      <c r="R120" s="23">
        <v>5</v>
      </c>
      <c r="S120" s="23">
        <v>5</v>
      </c>
      <c r="T120" s="23">
        <v>5</v>
      </c>
      <c r="U120" s="23">
        <v>5</v>
      </c>
      <c r="V120" s="23">
        <v>5</v>
      </c>
      <c r="W120" s="23">
        <v>5</v>
      </c>
      <c r="X120" s="23">
        <v>5</v>
      </c>
      <c r="Y120" s="23">
        <v>5</v>
      </c>
      <c r="Z120" s="23">
        <v>5</v>
      </c>
      <c r="AA120" s="23">
        <v>5</v>
      </c>
      <c r="AB120" s="23">
        <v>5</v>
      </c>
      <c r="AC120" s="23">
        <v>5</v>
      </c>
      <c r="AD120" s="23">
        <v>5</v>
      </c>
      <c r="AE120" s="23">
        <v>5</v>
      </c>
      <c r="AF120" s="23">
        <v>5</v>
      </c>
      <c r="AG120" s="23">
        <v>5</v>
      </c>
      <c r="AH120" s="23">
        <v>5</v>
      </c>
      <c r="AI120" s="23">
        <v>5</v>
      </c>
      <c r="AJ120" s="23"/>
      <c r="AK120" s="23"/>
      <c r="AL120" s="23"/>
      <c r="AM120" s="23"/>
      <c r="AN120" s="23"/>
    </row>
    <row r="121" spans="1:40" ht="38.25" x14ac:dyDescent="0.25">
      <c r="A121" s="15">
        <v>1</v>
      </c>
      <c r="B121" s="19" t="s">
        <v>128</v>
      </c>
      <c r="C121" s="16" t="s">
        <v>129</v>
      </c>
      <c r="D121" s="20" t="s">
        <v>41</v>
      </c>
      <c r="E121" s="16" t="s">
        <v>19</v>
      </c>
      <c r="F121" s="16" t="s">
        <v>20</v>
      </c>
      <c r="G121" s="16" t="s">
        <v>21</v>
      </c>
      <c r="H121" s="16" t="s">
        <v>22</v>
      </c>
      <c r="I121" s="16" t="s">
        <v>23</v>
      </c>
      <c r="J121" s="16" t="s">
        <v>24</v>
      </c>
      <c r="K121" s="16" t="s">
        <v>25</v>
      </c>
      <c r="L121" s="16" t="s">
        <v>23</v>
      </c>
      <c r="M121" s="24" t="s">
        <v>93</v>
      </c>
      <c r="N121" s="23">
        <v>4</v>
      </c>
      <c r="O121" s="23">
        <v>4</v>
      </c>
      <c r="P121" s="23">
        <v>4</v>
      </c>
      <c r="Q121" s="23">
        <v>4</v>
      </c>
      <c r="R121" s="23">
        <v>4</v>
      </c>
      <c r="S121" s="23">
        <v>4</v>
      </c>
      <c r="T121" s="23">
        <v>4</v>
      </c>
      <c r="U121" s="23">
        <v>4</v>
      </c>
      <c r="V121" s="23">
        <v>4</v>
      </c>
      <c r="W121" s="23">
        <v>4</v>
      </c>
      <c r="X121" s="23">
        <v>4</v>
      </c>
      <c r="Y121" s="23">
        <v>4</v>
      </c>
      <c r="Z121" s="23">
        <v>4</v>
      </c>
      <c r="AA121" s="23">
        <v>4</v>
      </c>
      <c r="AB121" s="23">
        <v>4</v>
      </c>
      <c r="AC121" s="23">
        <v>4</v>
      </c>
      <c r="AD121" s="23">
        <v>4</v>
      </c>
      <c r="AE121" s="23">
        <v>4</v>
      </c>
      <c r="AF121" s="23">
        <v>4</v>
      </c>
      <c r="AG121" s="23">
        <v>4</v>
      </c>
      <c r="AH121" s="23">
        <v>4</v>
      </c>
      <c r="AI121" s="23">
        <v>4</v>
      </c>
      <c r="AJ121" s="23">
        <v>4</v>
      </c>
      <c r="AK121" s="23"/>
      <c r="AL121" s="23"/>
      <c r="AM121" s="23"/>
      <c r="AN121" s="23"/>
    </row>
    <row r="122" spans="1:40" ht="38.25" x14ac:dyDescent="0.25">
      <c r="A122" s="15">
        <v>1</v>
      </c>
      <c r="B122" s="19" t="s">
        <v>128</v>
      </c>
      <c r="C122" s="16" t="s">
        <v>130</v>
      </c>
      <c r="D122" s="20" t="s">
        <v>18</v>
      </c>
      <c r="E122" s="16" t="s">
        <v>19</v>
      </c>
      <c r="F122" s="16" t="s">
        <v>20</v>
      </c>
      <c r="G122" s="16" t="s">
        <v>21</v>
      </c>
      <c r="H122" s="16" t="s">
        <v>22</v>
      </c>
      <c r="I122" s="16" t="s">
        <v>23</v>
      </c>
      <c r="J122" s="16" t="s">
        <v>24</v>
      </c>
      <c r="K122" s="16" t="s">
        <v>25</v>
      </c>
      <c r="L122" s="16" t="s">
        <v>23</v>
      </c>
      <c r="M122" s="24" t="s">
        <v>93</v>
      </c>
      <c r="N122" s="23">
        <v>4</v>
      </c>
      <c r="O122" s="23">
        <v>4</v>
      </c>
      <c r="P122" s="23">
        <v>4</v>
      </c>
      <c r="Q122" s="23">
        <v>4</v>
      </c>
      <c r="R122" s="23">
        <v>4</v>
      </c>
      <c r="S122" s="23">
        <v>4</v>
      </c>
      <c r="T122" s="23">
        <v>4</v>
      </c>
      <c r="U122" s="23">
        <v>4</v>
      </c>
      <c r="V122" s="23">
        <v>4</v>
      </c>
      <c r="W122" s="23">
        <v>4</v>
      </c>
      <c r="X122" s="23">
        <v>4</v>
      </c>
      <c r="Y122" s="23">
        <v>4</v>
      </c>
      <c r="Z122" s="23">
        <v>4</v>
      </c>
      <c r="AA122" s="23">
        <v>4</v>
      </c>
      <c r="AB122" s="23">
        <v>4</v>
      </c>
      <c r="AC122" s="23">
        <v>4</v>
      </c>
      <c r="AD122" s="23">
        <v>4</v>
      </c>
      <c r="AE122" s="23">
        <v>4</v>
      </c>
      <c r="AF122" s="23">
        <v>4</v>
      </c>
      <c r="AG122" s="23">
        <v>4</v>
      </c>
      <c r="AH122" s="23">
        <v>4</v>
      </c>
      <c r="AI122" s="23">
        <v>4</v>
      </c>
      <c r="AJ122" s="23">
        <v>4</v>
      </c>
      <c r="AK122" s="23">
        <v>4</v>
      </c>
      <c r="AL122" s="23"/>
      <c r="AM122" s="23"/>
      <c r="AN122" s="23"/>
    </row>
    <row r="123" spans="1:40" ht="38.25" x14ac:dyDescent="0.25">
      <c r="A123" s="15">
        <v>1</v>
      </c>
      <c r="B123" s="19" t="s">
        <v>128</v>
      </c>
      <c r="C123" s="16" t="s">
        <v>131</v>
      </c>
      <c r="D123" s="20" t="s">
        <v>18</v>
      </c>
      <c r="E123" s="16" t="s">
        <v>19</v>
      </c>
      <c r="F123" s="16" t="s">
        <v>20</v>
      </c>
      <c r="G123" s="16" t="s">
        <v>21</v>
      </c>
      <c r="H123" s="16" t="s">
        <v>22</v>
      </c>
      <c r="I123" s="16" t="s">
        <v>23</v>
      </c>
      <c r="J123" s="16" t="s">
        <v>24</v>
      </c>
      <c r="K123" s="16" t="s">
        <v>25</v>
      </c>
      <c r="L123" s="16" t="s">
        <v>23</v>
      </c>
      <c r="M123" s="24" t="s">
        <v>93</v>
      </c>
      <c r="N123" s="23">
        <v>3</v>
      </c>
      <c r="O123" s="23">
        <v>3</v>
      </c>
      <c r="P123" s="23">
        <v>3</v>
      </c>
      <c r="Q123" s="23">
        <v>3</v>
      </c>
      <c r="R123" s="23">
        <v>3</v>
      </c>
      <c r="S123" s="23">
        <v>3</v>
      </c>
      <c r="T123" s="23">
        <v>3</v>
      </c>
      <c r="U123" s="23">
        <v>3</v>
      </c>
      <c r="V123" s="23">
        <v>3</v>
      </c>
      <c r="W123" s="23">
        <v>3</v>
      </c>
      <c r="X123" s="23">
        <v>3</v>
      </c>
      <c r="Y123" s="23">
        <v>3</v>
      </c>
      <c r="Z123" s="23">
        <v>3</v>
      </c>
      <c r="AA123" s="23">
        <v>3</v>
      </c>
      <c r="AB123" s="23">
        <v>3</v>
      </c>
      <c r="AC123" s="23">
        <v>3</v>
      </c>
      <c r="AD123" s="23">
        <v>3</v>
      </c>
      <c r="AE123" s="23">
        <v>3</v>
      </c>
      <c r="AF123" s="23">
        <v>3</v>
      </c>
      <c r="AG123" s="23">
        <v>3</v>
      </c>
      <c r="AH123" s="23">
        <v>3</v>
      </c>
      <c r="AI123" s="23">
        <v>3</v>
      </c>
      <c r="AJ123" s="23">
        <v>3</v>
      </c>
      <c r="AK123" s="23">
        <v>3</v>
      </c>
      <c r="AL123" s="23">
        <v>3</v>
      </c>
      <c r="AM123" s="23"/>
      <c r="AN123" s="23"/>
    </row>
    <row r="124" spans="1:40" ht="38.25" x14ac:dyDescent="0.25">
      <c r="A124" s="15">
        <v>1</v>
      </c>
      <c r="B124" s="19" t="s">
        <v>128</v>
      </c>
      <c r="C124" s="16" t="s">
        <v>132</v>
      </c>
      <c r="D124" s="20" t="s">
        <v>18</v>
      </c>
      <c r="E124" s="16" t="s">
        <v>19</v>
      </c>
      <c r="F124" s="16" t="s">
        <v>20</v>
      </c>
      <c r="G124" s="16" t="s">
        <v>21</v>
      </c>
      <c r="H124" s="16" t="s">
        <v>22</v>
      </c>
      <c r="I124" s="16" t="s">
        <v>23</v>
      </c>
      <c r="J124" s="16" t="s">
        <v>24</v>
      </c>
      <c r="K124" s="16" t="s">
        <v>25</v>
      </c>
      <c r="L124" s="16" t="s">
        <v>23</v>
      </c>
      <c r="M124" s="24" t="s">
        <v>93</v>
      </c>
      <c r="N124" s="23">
        <v>5</v>
      </c>
      <c r="O124" s="23">
        <v>5</v>
      </c>
      <c r="P124" s="23">
        <v>5</v>
      </c>
      <c r="Q124" s="23">
        <v>5</v>
      </c>
      <c r="R124" s="23">
        <v>5</v>
      </c>
      <c r="S124" s="23">
        <v>5</v>
      </c>
      <c r="T124" s="23">
        <v>5</v>
      </c>
      <c r="U124" s="23">
        <v>5</v>
      </c>
      <c r="V124" s="23">
        <v>5</v>
      </c>
      <c r="W124" s="23">
        <v>5</v>
      </c>
      <c r="X124" s="23">
        <v>5</v>
      </c>
      <c r="Y124" s="23">
        <v>5</v>
      </c>
      <c r="Z124" s="23">
        <v>5</v>
      </c>
      <c r="AA124" s="23">
        <v>5</v>
      </c>
      <c r="AB124" s="23">
        <v>5</v>
      </c>
      <c r="AC124" s="23">
        <v>5</v>
      </c>
      <c r="AD124" s="23">
        <v>5</v>
      </c>
      <c r="AE124" s="23">
        <v>5</v>
      </c>
      <c r="AF124" s="23">
        <v>5</v>
      </c>
      <c r="AG124" s="23">
        <v>5</v>
      </c>
      <c r="AH124" s="23">
        <v>5</v>
      </c>
      <c r="AI124" s="23">
        <v>5</v>
      </c>
      <c r="AJ124" s="23">
        <v>5</v>
      </c>
      <c r="AK124" s="23">
        <v>5</v>
      </c>
      <c r="AL124" s="23">
        <v>5</v>
      </c>
      <c r="AM124" s="23">
        <v>5</v>
      </c>
      <c r="AN124" s="23"/>
    </row>
    <row r="125" spans="1:40" ht="38.25" x14ac:dyDescent="0.25">
      <c r="A125" s="15">
        <v>1</v>
      </c>
      <c r="B125" s="19" t="s">
        <v>128</v>
      </c>
      <c r="C125" s="16" t="s">
        <v>133</v>
      </c>
      <c r="D125" s="20" t="s">
        <v>18</v>
      </c>
      <c r="E125" s="16" t="s">
        <v>19</v>
      </c>
      <c r="F125" s="16" t="s">
        <v>20</v>
      </c>
      <c r="G125" s="16" t="s">
        <v>21</v>
      </c>
      <c r="H125" s="16" t="s">
        <v>22</v>
      </c>
      <c r="I125" s="16" t="s">
        <v>23</v>
      </c>
      <c r="J125" s="16" t="s">
        <v>24</v>
      </c>
      <c r="K125" s="16" t="s">
        <v>25</v>
      </c>
      <c r="L125" s="16" t="s">
        <v>23</v>
      </c>
      <c r="M125" s="24" t="s">
        <v>93</v>
      </c>
      <c r="N125" s="23">
        <v>3</v>
      </c>
      <c r="O125" s="23">
        <v>3</v>
      </c>
      <c r="P125" s="23">
        <v>3</v>
      </c>
      <c r="Q125" s="23">
        <v>3</v>
      </c>
      <c r="R125" s="23">
        <v>3</v>
      </c>
      <c r="S125" s="23">
        <v>3</v>
      </c>
      <c r="T125" s="23">
        <v>3</v>
      </c>
      <c r="U125" s="23">
        <v>3</v>
      </c>
      <c r="V125" s="23">
        <v>3</v>
      </c>
      <c r="W125" s="23">
        <v>3</v>
      </c>
      <c r="X125" s="23">
        <v>3</v>
      </c>
      <c r="Y125" s="23">
        <v>3</v>
      </c>
      <c r="Z125" s="23">
        <v>3</v>
      </c>
      <c r="AA125" s="23">
        <v>3</v>
      </c>
      <c r="AB125" s="23">
        <v>3</v>
      </c>
      <c r="AC125" s="23">
        <v>3</v>
      </c>
      <c r="AD125" s="23">
        <v>3</v>
      </c>
      <c r="AE125" s="23">
        <v>3</v>
      </c>
      <c r="AF125" s="23">
        <v>3</v>
      </c>
      <c r="AG125" s="23">
        <v>3</v>
      </c>
      <c r="AH125" s="23">
        <v>3</v>
      </c>
      <c r="AI125" s="23">
        <v>3</v>
      </c>
      <c r="AJ125" s="23">
        <v>3</v>
      </c>
      <c r="AK125" s="23">
        <v>3</v>
      </c>
      <c r="AL125" s="23">
        <v>3</v>
      </c>
      <c r="AM125" s="23">
        <v>3</v>
      </c>
      <c r="AN125" s="23">
        <v>3</v>
      </c>
    </row>
  </sheetData>
  <mergeCells count="86">
    <mergeCell ref="AL85:AL87"/>
    <mergeCell ref="AM85:AM87"/>
    <mergeCell ref="AN85:AN87"/>
    <mergeCell ref="AG85:AG87"/>
    <mergeCell ref="AH85:AH87"/>
    <mergeCell ref="AI85:AI87"/>
    <mergeCell ref="AJ85:AJ87"/>
    <mergeCell ref="AK85:AK87"/>
    <mergeCell ref="AB85:AB87"/>
    <mergeCell ref="AC85:AC87"/>
    <mergeCell ref="AD85:AD87"/>
    <mergeCell ref="AE85:AE87"/>
    <mergeCell ref="AF85:AF87"/>
    <mergeCell ref="W85:W87"/>
    <mergeCell ref="X85:X87"/>
    <mergeCell ref="Y85:Y87"/>
    <mergeCell ref="Z85:Z87"/>
    <mergeCell ref="AA85:AA87"/>
    <mergeCell ref="R85:R87"/>
    <mergeCell ref="S85:S87"/>
    <mergeCell ref="T85:T87"/>
    <mergeCell ref="U85:U87"/>
    <mergeCell ref="V85:V87"/>
    <mergeCell ref="N85:N87"/>
    <mergeCell ref="O85:O87"/>
    <mergeCell ref="P85:P87"/>
    <mergeCell ref="Q85:Q87"/>
    <mergeCell ref="K89:M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K90:K91"/>
    <mergeCell ref="L90:L91"/>
    <mergeCell ref="M90:M91"/>
    <mergeCell ref="N90:X91"/>
    <mergeCell ref="K88:M88"/>
    <mergeCell ref="K25:K26"/>
    <mergeCell ref="L25:L26"/>
    <mergeCell ref="M25:M26"/>
    <mergeCell ref="N25:X26"/>
    <mergeCell ref="K23:M23"/>
    <mergeCell ref="K24:M24"/>
    <mergeCell ref="F25:F26"/>
    <mergeCell ref="G25:G26"/>
    <mergeCell ref="H25:H26"/>
    <mergeCell ref="I25:I26"/>
    <mergeCell ref="J25:J26"/>
    <mergeCell ref="A25:A26"/>
    <mergeCell ref="B25:B26"/>
    <mergeCell ref="C25:C26"/>
    <mergeCell ref="D25:D26"/>
    <mergeCell ref="E25:E26"/>
    <mergeCell ref="W4:W6"/>
    <mergeCell ref="X4:X6"/>
    <mergeCell ref="K7:M7"/>
    <mergeCell ref="T4:T6"/>
    <mergeCell ref="U4:U6"/>
    <mergeCell ref="V4:V6"/>
    <mergeCell ref="F9:F10"/>
    <mergeCell ref="O4:O6"/>
    <mergeCell ref="N4:N6"/>
    <mergeCell ref="P4:P6"/>
    <mergeCell ref="A9:A10"/>
    <mergeCell ref="B9:B10"/>
    <mergeCell ref="C9:C10"/>
    <mergeCell ref="D9:D10"/>
    <mergeCell ref="E9:E10"/>
    <mergeCell ref="N9:X10"/>
    <mergeCell ref="G9:G10"/>
    <mergeCell ref="H9:H10"/>
    <mergeCell ref="I9:I10"/>
    <mergeCell ref="J9:J10"/>
    <mergeCell ref="K9:K10"/>
    <mergeCell ref="L9:L10"/>
    <mergeCell ref="M9:M10"/>
    <mergeCell ref="K8:M8"/>
    <mergeCell ref="Q4:Q6"/>
    <mergeCell ref="R4:R6"/>
    <mergeCell ref="S4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17C6-B45F-4990-80F0-C5CDD2459286}">
  <dimension ref="A3:P66"/>
  <sheetViews>
    <sheetView workbookViewId="0">
      <selection activeCell="E7" sqref="E7"/>
    </sheetView>
  </sheetViews>
  <sheetFormatPr baseColWidth="10" defaultColWidth="10.7109375" defaultRowHeight="15" x14ac:dyDescent="0.25"/>
  <sheetData>
    <row r="3" spans="1:16" ht="15.75" thickBot="1" x14ac:dyDescent="0.3"/>
    <row r="4" spans="1:16" x14ac:dyDescent="0.25">
      <c r="A4" s="25" t="s">
        <v>0</v>
      </c>
      <c r="B4" s="25" t="s">
        <v>1</v>
      </c>
      <c r="C4" s="25" t="s">
        <v>2</v>
      </c>
      <c r="D4" s="25" t="s">
        <v>3</v>
      </c>
      <c r="E4" s="25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25" t="s">
        <v>13</v>
      </c>
      <c r="O4" s="25" t="s">
        <v>14</v>
      </c>
      <c r="P4" s="25" t="s">
        <v>15</v>
      </c>
    </row>
    <row r="5" spans="1:16" ht="15.75" thickBot="1" x14ac:dyDescent="0.3">
      <c r="A5" s="26"/>
      <c r="B5" s="26"/>
      <c r="C5" s="26"/>
      <c r="D5" s="26"/>
      <c r="E5" s="26"/>
      <c r="F5" s="28"/>
      <c r="G5" s="28"/>
      <c r="H5" s="28"/>
      <c r="I5" s="28"/>
      <c r="J5" s="26"/>
      <c r="K5" s="26"/>
      <c r="L5" s="26"/>
      <c r="M5" s="26"/>
      <c r="N5" s="26"/>
      <c r="O5" s="26"/>
      <c r="P5" s="26"/>
    </row>
    <row r="6" spans="1:16" ht="64.5" thickBot="1" x14ac:dyDescent="0.3">
      <c r="A6" s="6">
        <v>1</v>
      </c>
      <c r="B6" s="7" t="s">
        <v>16</v>
      </c>
      <c r="C6" s="7" t="s">
        <v>134</v>
      </c>
      <c r="D6" s="7" t="s">
        <v>18</v>
      </c>
      <c r="E6" s="7" t="s">
        <v>19</v>
      </c>
      <c r="F6" s="7" t="s">
        <v>38</v>
      </c>
      <c r="G6" s="7" t="s">
        <v>38</v>
      </c>
      <c r="H6" s="7" t="s">
        <v>38</v>
      </c>
      <c r="I6" s="7" t="s">
        <v>38</v>
      </c>
      <c r="J6" s="7" t="s">
        <v>38</v>
      </c>
      <c r="K6" s="7" t="s">
        <v>38</v>
      </c>
      <c r="L6" s="7" t="s">
        <v>23</v>
      </c>
      <c r="M6" s="1" t="s">
        <v>23</v>
      </c>
      <c r="N6" s="10">
        <v>3</v>
      </c>
      <c r="O6" s="9">
        <f>DATE(2025,6,4)</f>
        <v>45812</v>
      </c>
      <c r="P6" s="9">
        <f>DATE(2025,6,4)</f>
        <v>45812</v>
      </c>
    </row>
    <row r="7" spans="1:16" ht="102.75" thickBot="1" x14ac:dyDescent="0.3">
      <c r="A7" s="6">
        <v>1</v>
      </c>
      <c r="B7" s="7" t="s">
        <v>16</v>
      </c>
      <c r="C7" s="7" t="s">
        <v>135</v>
      </c>
      <c r="D7" s="7" t="s">
        <v>18</v>
      </c>
      <c r="E7" s="7" t="s">
        <v>19</v>
      </c>
      <c r="F7" s="7" t="s">
        <v>38</v>
      </c>
      <c r="G7" s="7" t="s">
        <v>38</v>
      </c>
      <c r="H7" s="7" t="s">
        <v>38</v>
      </c>
      <c r="I7" s="7" t="s">
        <v>38</v>
      </c>
      <c r="J7" s="7" t="s">
        <v>38</v>
      </c>
      <c r="K7" s="7" t="s">
        <v>38</v>
      </c>
      <c r="L7" s="7" t="s">
        <v>23</v>
      </c>
      <c r="M7" s="1" t="s">
        <v>23</v>
      </c>
      <c r="N7" s="10">
        <v>4</v>
      </c>
      <c r="O7" s="9">
        <f t="shared" ref="O7:P7" si="0">DATE(2025,6,4)</f>
        <v>45812</v>
      </c>
      <c r="P7" s="9">
        <f t="shared" si="0"/>
        <v>45812</v>
      </c>
    </row>
    <row r="8" spans="1:16" ht="102.75" thickBot="1" x14ac:dyDescent="0.3">
      <c r="A8" s="6">
        <v>1</v>
      </c>
      <c r="B8" s="7" t="s">
        <v>16</v>
      </c>
      <c r="C8" s="7" t="s">
        <v>136</v>
      </c>
      <c r="D8" s="7" t="s">
        <v>18</v>
      </c>
      <c r="E8" s="7" t="s">
        <v>19</v>
      </c>
      <c r="F8" s="7" t="s">
        <v>38</v>
      </c>
      <c r="G8" s="7" t="s">
        <v>38</v>
      </c>
      <c r="H8" s="7" t="s">
        <v>38</v>
      </c>
      <c r="I8" s="7" t="s">
        <v>38</v>
      </c>
      <c r="J8" s="7" t="s">
        <v>38</v>
      </c>
      <c r="K8" s="7" t="s">
        <v>38</v>
      </c>
      <c r="L8" s="7" t="s">
        <v>23</v>
      </c>
      <c r="M8" s="1" t="s">
        <v>23</v>
      </c>
      <c r="N8" s="10">
        <v>3</v>
      </c>
      <c r="O8" s="9">
        <f t="shared" ref="O8:P9" si="1">DATE(2025,6,5)</f>
        <v>45813</v>
      </c>
      <c r="P8" s="9">
        <f t="shared" si="1"/>
        <v>45813</v>
      </c>
    </row>
    <row r="9" spans="1:16" ht="115.5" thickBot="1" x14ac:dyDescent="0.3">
      <c r="A9" s="6">
        <v>1</v>
      </c>
      <c r="B9" s="7" t="s">
        <v>16</v>
      </c>
      <c r="C9" s="7" t="s">
        <v>137</v>
      </c>
      <c r="D9" s="7" t="s">
        <v>18</v>
      </c>
      <c r="E9" s="7" t="s">
        <v>19</v>
      </c>
      <c r="F9" s="7" t="s">
        <v>38</v>
      </c>
      <c r="G9" s="7" t="s">
        <v>38</v>
      </c>
      <c r="H9" s="7" t="s">
        <v>38</v>
      </c>
      <c r="I9" s="7" t="s">
        <v>38</v>
      </c>
      <c r="J9" s="7" t="s">
        <v>38</v>
      </c>
      <c r="K9" s="7" t="s">
        <v>38</v>
      </c>
      <c r="L9" s="7" t="s">
        <v>23</v>
      </c>
      <c r="M9" s="1" t="s">
        <v>23</v>
      </c>
      <c r="N9" s="10">
        <v>3</v>
      </c>
      <c r="O9" s="9">
        <f t="shared" si="1"/>
        <v>45813</v>
      </c>
      <c r="P9" s="9">
        <f t="shared" si="1"/>
        <v>45813</v>
      </c>
    </row>
    <row r="10" spans="1:16" ht="77.25" thickBot="1" x14ac:dyDescent="0.3">
      <c r="A10" s="6">
        <v>1</v>
      </c>
      <c r="B10" s="7" t="s">
        <v>16</v>
      </c>
      <c r="C10" s="7" t="s">
        <v>138</v>
      </c>
      <c r="D10" s="7" t="s">
        <v>18</v>
      </c>
      <c r="E10" s="7" t="s">
        <v>19</v>
      </c>
      <c r="F10" s="7" t="s">
        <v>38</v>
      </c>
      <c r="G10" s="7" t="s">
        <v>38</v>
      </c>
      <c r="H10" s="7" t="s">
        <v>38</v>
      </c>
      <c r="I10" s="7" t="s">
        <v>38</v>
      </c>
      <c r="J10" s="7" t="s">
        <v>38</v>
      </c>
      <c r="K10" s="7" t="s">
        <v>38</v>
      </c>
      <c r="L10" s="7" t="s">
        <v>23</v>
      </c>
      <c r="M10" s="1" t="s">
        <v>23</v>
      </c>
      <c r="N10" s="10">
        <v>4</v>
      </c>
      <c r="O10" s="9">
        <f>DATE(2025,6,7)</f>
        <v>45815</v>
      </c>
      <c r="P10" s="9">
        <f>DATE(2025,6,7)</f>
        <v>45815</v>
      </c>
    </row>
    <row r="11" spans="1:16" ht="64.5" thickBot="1" x14ac:dyDescent="0.3">
      <c r="A11" s="6">
        <v>1</v>
      </c>
      <c r="B11" s="7" t="s">
        <v>16</v>
      </c>
      <c r="C11" s="7" t="s">
        <v>139</v>
      </c>
      <c r="D11" s="7" t="s">
        <v>18</v>
      </c>
      <c r="E11" s="7" t="s">
        <v>19</v>
      </c>
      <c r="F11" s="7" t="s">
        <v>38</v>
      </c>
      <c r="G11" s="7" t="s">
        <v>38</v>
      </c>
      <c r="H11" s="7" t="s">
        <v>38</v>
      </c>
      <c r="I11" s="7" t="s">
        <v>38</v>
      </c>
      <c r="J11" s="7" t="s">
        <v>38</v>
      </c>
      <c r="K11" s="7" t="s">
        <v>38</v>
      </c>
      <c r="L11" s="7" t="s">
        <v>23</v>
      </c>
      <c r="M11" s="1" t="s">
        <v>23</v>
      </c>
      <c r="N11" s="10">
        <v>4</v>
      </c>
      <c r="O11" s="9">
        <f t="shared" ref="O11:P11" si="2">DATE(2025,6,8)</f>
        <v>45816</v>
      </c>
      <c r="P11" s="9">
        <f t="shared" si="2"/>
        <v>45816</v>
      </c>
    </row>
    <row r="12" spans="1:16" ht="102.75" thickBot="1" x14ac:dyDescent="0.3">
      <c r="A12" s="6">
        <v>1</v>
      </c>
      <c r="B12" s="7" t="s">
        <v>16</v>
      </c>
      <c r="C12" s="7" t="s">
        <v>140</v>
      </c>
      <c r="D12" s="7" t="s">
        <v>18</v>
      </c>
      <c r="E12" s="7" t="s">
        <v>19</v>
      </c>
      <c r="F12" s="7" t="s">
        <v>38</v>
      </c>
      <c r="G12" s="7" t="s">
        <v>38</v>
      </c>
      <c r="H12" s="7" t="s">
        <v>38</v>
      </c>
      <c r="I12" s="7" t="s">
        <v>38</v>
      </c>
      <c r="J12" s="7" t="s">
        <v>38</v>
      </c>
      <c r="K12" s="7" t="s">
        <v>38</v>
      </c>
      <c r="L12" s="7" t="s">
        <v>23</v>
      </c>
      <c r="M12" s="1" t="s">
        <v>23</v>
      </c>
      <c r="N12" s="10">
        <v>5</v>
      </c>
      <c r="O12" s="9">
        <f t="shared" ref="O12:P12" si="3">DATE(2025,6,9)</f>
        <v>45817</v>
      </c>
      <c r="P12" s="9">
        <f t="shared" si="3"/>
        <v>45817</v>
      </c>
    </row>
    <row r="13" spans="1:16" ht="115.5" thickBot="1" x14ac:dyDescent="0.3">
      <c r="A13" s="6">
        <v>1</v>
      </c>
      <c r="B13" s="7" t="s">
        <v>16</v>
      </c>
      <c r="C13" s="7" t="s">
        <v>141</v>
      </c>
      <c r="D13" s="7" t="s">
        <v>41</v>
      </c>
      <c r="E13" s="7" t="s">
        <v>19</v>
      </c>
      <c r="F13" s="7" t="s">
        <v>38</v>
      </c>
      <c r="G13" s="7" t="s">
        <v>38</v>
      </c>
      <c r="H13" s="7" t="s">
        <v>38</v>
      </c>
      <c r="I13" s="7" t="s">
        <v>38</v>
      </c>
      <c r="J13" s="7" t="s">
        <v>38</v>
      </c>
      <c r="K13" s="7" t="s">
        <v>38</v>
      </c>
      <c r="L13" s="7" t="s">
        <v>23</v>
      </c>
      <c r="M13" s="1" t="s">
        <v>23</v>
      </c>
      <c r="N13" s="10">
        <v>4</v>
      </c>
      <c r="O13" s="9">
        <f t="shared" ref="O13:P13" si="4">DATE(2025,6,10)</f>
        <v>45818</v>
      </c>
      <c r="P13" s="9">
        <f t="shared" si="4"/>
        <v>45818</v>
      </c>
    </row>
    <row r="14" spans="1:16" ht="77.25" thickBot="1" x14ac:dyDescent="0.3">
      <c r="A14" s="6">
        <v>1</v>
      </c>
      <c r="B14" s="7" t="s">
        <v>16</v>
      </c>
      <c r="C14" s="7" t="s">
        <v>142</v>
      </c>
      <c r="D14" s="7" t="s">
        <v>18</v>
      </c>
      <c r="E14" s="7" t="s">
        <v>19</v>
      </c>
      <c r="F14" s="7" t="s">
        <v>38</v>
      </c>
      <c r="G14" s="7" t="s">
        <v>38</v>
      </c>
      <c r="H14" s="7" t="s">
        <v>38</v>
      </c>
      <c r="I14" s="7" t="s">
        <v>38</v>
      </c>
      <c r="J14" s="7" t="s">
        <v>38</v>
      </c>
      <c r="K14" s="7" t="s">
        <v>38</v>
      </c>
      <c r="L14" s="7" t="s">
        <v>23</v>
      </c>
      <c r="M14" s="1" t="s">
        <v>23</v>
      </c>
      <c r="N14" s="10">
        <v>4</v>
      </c>
      <c r="O14" s="9">
        <f>DATE(2025,6,11)</f>
        <v>45819</v>
      </c>
      <c r="P14" s="9">
        <f>DATE(2025,6,11)</f>
        <v>45819</v>
      </c>
    </row>
    <row r="15" spans="1:16" ht="77.25" thickBot="1" x14ac:dyDescent="0.3">
      <c r="A15" s="6">
        <v>1</v>
      </c>
      <c r="B15" s="7" t="s">
        <v>16</v>
      </c>
      <c r="C15" s="7" t="s">
        <v>143</v>
      </c>
      <c r="D15" s="7" t="s">
        <v>18</v>
      </c>
      <c r="E15" s="7" t="s">
        <v>19</v>
      </c>
      <c r="F15" s="7" t="s">
        <v>38</v>
      </c>
      <c r="G15" s="7" t="s">
        <v>38</v>
      </c>
      <c r="H15" s="7" t="s">
        <v>38</v>
      </c>
      <c r="I15" s="7" t="s">
        <v>38</v>
      </c>
      <c r="J15" s="7" t="s">
        <v>38</v>
      </c>
      <c r="K15" s="7" t="s">
        <v>38</v>
      </c>
      <c r="L15" s="7" t="s">
        <v>23</v>
      </c>
      <c r="M15" s="1" t="s">
        <v>23</v>
      </c>
      <c r="N15" s="10">
        <v>4</v>
      </c>
      <c r="O15" s="9">
        <f>DATE(2025,6,12)</f>
        <v>45820</v>
      </c>
      <c r="P15" s="9">
        <f>DATE(2025,6,12)</f>
        <v>45820</v>
      </c>
    </row>
    <row r="16" spans="1:16" ht="115.5" thickBot="1" x14ac:dyDescent="0.3">
      <c r="A16" s="6">
        <v>1</v>
      </c>
      <c r="B16" s="7" t="s">
        <v>16</v>
      </c>
      <c r="C16" s="7" t="s">
        <v>144</v>
      </c>
      <c r="D16" s="7" t="s">
        <v>18</v>
      </c>
      <c r="E16" s="7" t="s">
        <v>19</v>
      </c>
      <c r="F16" s="7" t="s">
        <v>38</v>
      </c>
      <c r="G16" s="7" t="s">
        <v>38</v>
      </c>
      <c r="H16" s="7" t="s">
        <v>38</v>
      </c>
      <c r="I16" s="7" t="s">
        <v>38</v>
      </c>
      <c r="J16" s="7" t="s">
        <v>38</v>
      </c>
      <c r="K16" s="7" t="s">
        <v>38</v>
      </c>
      <c r="L16" s="7" t="s">
        <v>23</v>
      </c>
      <c r="M16" s="1" t="s">
        <v>23</v>
      </c>
      <c r="N16" s="10">
        <v>5</v>
      </c>
      <c r="O16" s="9">
        <f>DATE(2025,6,13)</f>
        <v>45821</v>
      </c>
      <c r="P16" s="9">
        <f>DATE(2025,6,13)</f>
        <v>45821</v>
      </c>
    </row>
    <row r="17" spans="1:16" ht="102.75" thickBot="1" x14ac:dyDescent="0.3">
      <c r="A17" s="6">
        <v>1</v>
      </c>
      <c r="B17" s="7" t="s">
        <v>16</v>
      </c>
      <c r="C17" s="7" t="s">
        <v>145</v>
      </c>
      <c r="D17" s="7" t="s">
        <v>18</v>
      </c>
      <c r="E17" s="7" t="s">
        <v>19</v>
      </c>
      <c r="F17" s="7" t="s">
        <v>38</v>
      </c>
      <c r="G17" s="7" t="s">
        <v>38</v>
      </c>
      <c r="H17" s="7" t="s">
        <v>38</v>
      </c>
      <c r="I17" s="7" t="s">
        <v>38</v>
      </c>
      <c r="J17" s="7" t="s">
        <v>38</v>
      </c>
      <c r="K17" s="7" t="s">
        <v>38</v>
      </c>
      <c r="L17" s="7" t="s">
        <v>23</v>
      </c>
      <c r="M17" s="1" t="s">
        <v>23</v>
      </c>
      <c r="N17" s="10">
        <v>3</v>
      </c>
      <c r="O17" s="9">
        <f>DATE(2025,6,14)</f>
        <v>45822</v>
      </c>
      <c r="P17" s="9">
        <f>DATE(2025,6,14)</f>
        <v>45822</v>
      </c>
    </row>
    <row r="18" spans="1:16" ht="102.75" thickBot="1" x14ac:dyDescent="0.3">
      <c r="A18" s="6">
        <v>1</v>
      </c>
      <c r="B18" s="7" t="s">
        <v>16</v>
      </c>
      <c r="C18" s="7" t="s">
        <v>146</v>
      </c>
      <c r="D18" s="7" t="s">
        <v>18</v>
      </c>
      <c r="E18" s="7" t="s">
        <v>19</v>
      </c>
      <c r="F18" s="7" t="s">
        <v>38</v>
      </c>
      <c r="G18" s="7" t="s">
        <v>38</v>
      </c>
      <c r="H18" s="7" t="s">
        <v>38</v>
      </c>
      <c r="I18" s="7" t="s">
        <v>38</v>
      </c>
      <c r="J18" s="7" t="s">
        <v>38</v>
      </c>
      <c r="K18" s="7" t="s">
        <v>38</v>
      </c>
      <c r="L18" s="7" t="s">
        <v>23</v>
      </c>
      <c r="M18" s="1" t="s">
        <v>23</v>
      </c>
      <c r="N18" s="10">
        <v>3</v>
      </c>
      <c r="O18" s="9">
        <f>DATE(2025,6,15)</f>
        <v>45823</v>
      </c>
      <c r="P18" s="9">
        <f>DATE(2025,6,15)</f>
        <v>45823</v>
      </c>
    </row>
    <row r="19" spans="1:16" ht="102.75" thickBot="1" x14ac:dyDescent="0.3">
      <c r="A19" s="2">
        <v>1</v>
      </c>
      <c r="B19" s="1" t="s">
        <v>16</v>
      </c>
      <c r="C19" s="1" t="s">
        <v>36</v>
      </c>
      <c r="D19" s="1" t="s">
        <v>18</v>
      </c>
      <c r="E19" s="1" t="s">
        <v>37</v>
      </c>
      <c r="F19" s="1" t="s">
        <v>38</v>
      </c>
      <c r="G19" s="1" t="s">
        <v>38</v>
      </c>
      <c r="H19" s="1" t="s">
        <v>38</v>
      </c>
      <c r="I19" s="1" t="s">
        <v>38</v>
      </c>
      <c r="J19" s="1" t="s">
        <v>38</v>
      </c>
      <c r="K19" s="1" t="s">
        <v>38</v>
      </c>
      <c r="L19" s="1" t="s">
        <v>38</v>
      </c>
      <c r="M19" s="1" t="s">
        <v>38</v>
      </c>
      <c r="N19" s="3" t="s">
        <v>39</v>
      </c>
      <c r="O19" s="3" t="s">
        <v>39</v>
      </c>
      <c r="P19" s="3" t="s">
        <v>39</v>
      </c>
    </row>
    <row r="20" spans="1:16" ht="102.75" thickBot="1" x14ac:dyDescent="0.3">
      <c r="A20" s="2">
        <v>1</v>
      </c>
      <c r="B20" s="1" t="s">
        <v>16</v>
      </c>
      <c r="C20" s="1" t="s">
        <v>40</v>
      </c>
      <c r="D20" s="1" t="s">
        <v>41</v>
      </c>
      <c r="E20" s="1" t="s">
        <v>37</v>
      </c>
      <c r="F20" s="1" t="s">
        <v>38</v>
      </c>
      <c r="G20" s="1" t="s">
        <v>38</v>
      </c>
      <c r="H20" s="1" t="s">
        <v>38</v>
      </c>
      <c r="I20" s="1" t="s">
        <v>38</v>
      </c>
      <c r="J20" s="1" t="s">
        <v>38</v>
      </c>
      <c r="K20" s="1" t="s">
        <v>38</v>
      </c>
      <c r="L20" s="1" t="s">
        <v>38</v>
      </c>
      <c r="M20" s="1" t="s">
        <v>38</v>
      </c>
      <c r="N20" s="3" t="s">
        <v>39</v>
      </c>
      <c r="O20" s="3" t="s">
        <v>39</v>
      </c>
      <c r="P20" s="3" t="s">
        <v>39</v>
      </c>
    </row>
    <row r="21" spans="1:16" ht="102.75" thickBot="1" x14ac:dyDescent="0.3">
      <c r="A21" s="2">
        <v>1</v>
      </c>
      <c r="B21" s="1" t="s">
        <v>16</v>
      </c>
      <c r="C21" s="1" t="s">
        <v>42</v>
      </c>
      <c r="D21" s="1" t="s">
        <v>41</v>
      </c>
      <c r="E21" s="1" t="s">
        <v>37</v>
      </c>
      <c r="F21" s="1" t="s">
        <v>38</v>
      </c>
      <c r="G21" s="1" t="s">
        <v>38</v>
      </c>
      <c r="H21" s="1" t="s">
        <v>38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38</v>
      </c>
      <c r="N21" s="3" t="s">
        <v>39</v>
      </c>
      <c r="O21" s="3" t="s">
        <v>39</v>
      </c>
      <c r="P21" s="3" t="s">
        <v>39</v>
      </c>
    </row>
    <row r="22" spans="1:16" ht="102.75" thickBot="1" x14ac:dyDescent="0.3">
      <c r="A22" s="2">
        <v>1</v>
      </c>
      <c r="B22" s="1" t="s">
        <v>16</v>
      </c>
      <c r="C22" s="1" t="s">
        <v>43</v>
      </c>
      <c r="D22" s="1" t="s">
        <v>18</v>
      </c>
      <c r="E22" s="1" t="s">
        <v>37</v>
      </c>
      <c r="F22" s="1" t="s">
        <v>38</v>
      </c>
      <c r="G22" s="1" t="s">
        <v>38</v>
      </c>
      <c r="H22" s="1" t="s">
        <v>38</v>
      </c>
      <c r="I22" s="1" t="s">
        <v>38</v>
      </c>
      <c r="J22" s="1" t="s">
        <v>38</v>
      </c>
      <c r="K22" s="1" t="s">
        <v>38</v>
      </c>
      <c r="L22" s="1" t="s">
        <v>38</v>
      </c>
      <c r="M22" s="1" t="s">
        <v>38</v>
      </c>
      <c r="N22" s="3" t="s">
        <v>39</v>
      </c>
      <c r="O22" s="3" t="s">
        <v>39</v>
      </c>
      <c r="P22" s="3" t="s">
        <v>39</v>
      </c>
    </row>
    <row r="23" spans="1:16" ht="115.5" thickBot="1" x14ac:dyDescent="0.3">
      <c r="A23" s="2">
        <v>1</v>
      </c>
      <c r="B23" s="1" t="s">
        <v>16</v>
      </c>
      <c r="C23" s="1" t="s">
        <v>44</v>
      </c>
      <c r="D23" s="1" t="s">
        <v>41</v>
      </c>
      <c r="E23" s="1" t="s">
        <v>37</v>
      </c>
      <c r="F23" s="1" t="s">
        <v>38</v>
      </c>
      <c r="G23" s="1" t="s">
        <v>38</v>
      </c>
      <c r="H23" s="1" t="s">
        <v>38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38</v>
      </c>
      <c r="N23" s="3" t="s">
        <v>39</v>
      </c>
      <c r="O23" s="3" t="s">
        <v>39</v>
      </c>
      <c r="P23" s="3" t="s">
        <v>39</v>
      </c>
    </row>
    <row r="24" spans="1:16" ht="115.5" thickBot="1" x14ac:dyDescent="0.3">
      <c r="A24" s="2">
        <v>1</v>
      </c>
      <c r="B24" s="1" t="s">
        <v>16</v>
      </c>
      <c r="C24" s="1" t="s">
        <v>45</v>
      </c>
      <c r="D24" s="1" t="s">
        <v>46</v>
      </c>
      <c r="E24" s="1" t="s">
        <v>37</v>
      </c>
      <c r="F24" s="1" t="s">
        <v>38</v>
      </c>
      <c r="G24" s="1" t="s">
        <v>38</v>
      </c>
      <c r="H24" s="1" t="s">
        <v>38</v>
      </c>
      <c r="I24" s="1" t="s">
        <v>38</v>
      </c>
      <c r="J24" s="1" t="s">
        <v>38</v>
      </c>
      <c r="K24" s="1" t="s">
        <v>38</v>
      </c>
      <c r="L24" s="1" t="s">
        <v>38</v>
      </c>
      <c r="M24" s="1" t="s">
        <v>38</v>
      </c>
      <c r="N24" s="3" t="s">
        <v>39</v>
      </c>
      <c r="O24" s="3" t="s">
        <v>39</v>
      </c>
      <c r="P24" s="3" t="s">
        <v>39</v>
      </c>
    </row>
    <row r="25" spans="1:16" ht="90" thickBot="1" x14ac:dyDescent="0.3">
      <c r="A25" s="2">
        <v>1</v>
      </c>
      <c r="B25" s="1" t="s">
        <v>16</v>
      </c>
      <c r="C25" s="1" t="s">
        <v>47</v>
      </c>
      <c r="D25" s="1" t="s">
        <v>18</v>
      </c>
      <c r="E25" s="1" t="s">
        <v>37</v>
      </c>
      <c r="F25" s="1" t="s">
        <v>38</v>
      </c>
      <c r="G25" s="1" t="s">
        <v>38</v>
      </c>
      <c r="H25" s="1" t="s">
        <v>38</v>
      </c>
      <c r="I25" s="1" t="s">
        <v>38</v>
      </c>
      <c r="J25" s="1" t="s">
        <v>38</v>
      </c>
      <c r="K25" s="1" t="s">
        <v>38</v>
      </c>
      <c r="L25" s="1" t="s">
        <v>38</v>
      </c>
      <c r="M25" s="1" t="s">
        <v>38</v>
      </c>
      <c r="N25" s="3" t="s">
        <v>39</v>
      </c>
      <c r="O25" s="3" t="s">
        <v>39</v>
      </c>
      <c r="P25" s="3" t="s">
        <v>39</v>
      </c>
    </row>
    <row r="26" spans="1:16" ht="115.5" thickBot="1" x14ac:dyDescent="0.3">
      <c r="A26" s="2">
        <v>1</v>
      </c>
      <c r="B26" s="1" t="s">
        <v>16</v>
      </c>
      <c r="C26" s="1" t="s">
        <v>48</v>
      </c>
      <c r="D26" s="1" t="s">
        <v>46</v>
      </c>
      <c r="E26" s="1" t="s">
        <v>37</v>
      </c>
      <c r="F26" s="1" t="s">
        <v>38</v>
      </c>
      <c r="G26" s="1" t="s">
        <v>38</v>
      </c>
      <c r="H26" s="1" t="s">
        <v>38</v>
      </c>
      <c r="I26" s="1" t="s">
        <v>38</v>
      </c>
      <c r="J26" s="1" t="s">
        <v>38</v>
      </c>
      <c r="K26" s="1" t="s">
        <v>38</v>
      </c>
      <c r="L26" s="1" t="s">
        <v>38</v>
      </c>
      <c r="M26" s="1" t="s">
        <v>38</v>
      </c>
      <c r="N26" s="3" t="s">
        <v>39</v>
      </c>
      <c r="O26" s="3" t="s">
        <v>39</v>
      </c>
      <c r="P26" s="3" t="s">
        <v>39</v>
      </c>
    </row>
    <row r="27" spans="1:16" ht="102.75" thickBot="1" x14ac:dyDescent="0.3">
      <c r="A27" s="2">
        <v>1</v>
      </c>
      <c r="B27" s="1" t="s">
        <v>16</v>
      </c>
      <c r="C27" s="1" t="s">
        <v>49</v>
      </c>
      <c r="D27" s="1" t="s">
        <v>41</v>
      </c>
      <c r="E27" s="1" t="s">
        <v>37</v>
      </c>
      <c r="F27" s="1" t="s">
        <v>38</v>
      </c>
      <c r="G27" s="1" t="s">
        <v>38</v>
      </c>
      <c r="H27" s="1" t="s">
        <v>38</v>
      </c>
      <c r="I27" s="1" t="s">
        <v>38</v>
      </c>
      <c r="J27" s="1" t="s">
        <v>38</v>
      </c>
      <c r="K27" s="1" t="s">
        <v>38</v>
      </c>
      <c r="L27" s="1" t="s">
        <v>38</v>
      </c>
      <c r="M27" s="1" t="s">
        <v>38</v>
      </c>
      <c r="N27" s="3" t="s">
        <v>39</v>
      </c>
      <c r="O27" s="3" t="s">
        <v>39</v>
      </c>
      <c r="P27" s="3" t="s">
        <v>39</v>
      </c>
    </row>
    <row r="28" spans="1:16" ht="115.5" thickBot="1" x14ac:dyDescent="0.3">
      <c r="A28" s="2">
        <v>1</v>
      </c>
      <c r="B28" s="1" t="s">
        <v>16</v>
      </c>
      <c r="C28" s="1" t="s">
        <v>50</v>
      </c>
      <c r="D28" s="1" t="s">
        <v>41</v>
      </c>
      <c r="E28" s="1" t="s">
        <v>37</v>
      </c>
      <c r="F28" s="1" t="s">
        <v>38</v>
      </c>
      <c r="G28" s="1" t="s">
        <v>38</v>
      </c>
      <c r="H28" s="1" t="s">
        <v>38</v>
      </c>
      <c r="I28" s="1" t="s">
        <v>38</v>
      </c>
      <c r="J28" s="1" t="s">
        <v>38</v>
      </c>
      <c r="K28" s="1" t="s">
        <v>38</v>
      </c>
      <c r="L28" s="1" t="s">
        <v>38</v>
      </c>
      <c r="M28" s="1" t="s">
        <v>38</v>
      </c>
      <c r="N28" s="3" t="s">
        <v>39</v>
      </c>
      <c r="O28" s="3" t="s">
        <v>39</v>
      </c>
      <c r="P28" s="3" t="s">
        <v>39</v>
      </c>
    </row>
    <row r="29" spans="1:16" ht="115.5" thickBot="1" x14ac:dyDescent="0.3">
      <c r="A29" s="2">
        <v>1</v>
      </c>
      <c r="B29" s="1" t="s">
        <v>16</v>
      </c>
      <c r="C29" s="1" t="s">
        <v>51</v>
      </c>
      <c r="D29" s="1" t="s">
        <v>41</v>
      </c>
      <c r="E29" s="1" t="s">
        <v>37</v>
      </c>
      <c r="F29" s="1" t="s">
        <v>38</v>
      </c>
      <c r="G29" s="1" t="s">
        <v>38</v>
      </c>
      <c r="H29" s="1" t="s">
        <v>38</v>
      </c>
      <c r="I29" s="1" t="s">
        <v>38</v>
      </c>
      <c r="J29" s="1" t="s">
        <v>38</v>
      </c>
      <c r="K29" s="1" t="s">
        <v>38</v>
      </c>
      <c r="L29" s="1" t="s">
        <v>38</v>
      </c>
      <c r="M29" s="1" t="s">
        <v>38</v>
      </c>
      <c r="N29" s="3" t="s">
        <v>39</v>
      </c>
      <c r="O29" s="3" t="s">
        <v>39</v>
      </c>
      <c r="P29" s="3" t="s">
        <v>39</v>
      </c>
    </row>
    <row r="30" spans="1:16" ht="77.25" thickBot="1" x14ac:dyDescent="0.3">
      <c r="A30" s="2">
        <v>1</v>
      </c>
      <c r="B30" s="1" t="s">
        <v>16</v>
      </c>
      <c r="C30" s="1" t="s">
        <v>52</v>
      </c>
      <c r="D30" s="1" t="s">
        <v>18</v>
      </c>
      <c r="E30" s="1" t="s">
        <v>37</v>
      </c>
      <c r="F30" s="1" t="s">
        <v>38</v>
      </c>
      <c r="G30" s="1" t="s">
        <v>38</v>
      </c>
      <c r="H30" s="1" t="s">
        <v>38</v>
      </c>
      <c r="I30" s="1" t="s">
        <v>38</v>
      </c>
      <c r="J30" s="1" t="s">
        <v>38</v>
      </c>
      <c r="K30" s="1" t="s">
        <v>38</v>
      </c>
      <c r="L30" s="1" t="s">
        <v>38</v>
      </c>
      <c r="M30" s="1" t="s">
        <v>38</v>
      </c>
      <c r="N30" s="3" t="s">
        <v>39</v>
      </c>
      <c r="O30" s="3" t="s">
        <v>39</v>
      </c>
      <c r="P30" s="3" t="s">
        <v>39</v>
      </c>
    </row>
    <row r="31" spans="1:16" ht="102.75" thickBot="1" x14ac:dyDescent="0.3">
      <c r="A31" s="2">
        <v>1</v>
      </c>
      <c r="B31" s="1" t="s">
        <v>16</v>
      </c>
      <c r="C31" s="1" t="s">
        <v>53</v>
      </c>
      <c r="D31" s="1" t="s">
        <v>41</v>
      </c>
      <c r="E31" s="1" t="s">
        <v>37</v>
      </c>
      <c r="F31" s="1" t="s">
        <v>38</v>
      </c>
      <c r="G31" s="1" t="s">
        <v>38</v>
      </c>
      <c r="H31" s="1" t="s">
        <v>38</v>
      </c>
      <c r="I31" s="1" t="s">
        <v>38</v>
      </c>
      <c r="J31" s="1" t="s">
        <v>38</v>
      </c>
      <c r="K31" s="1" t="s">
        <v>38</v>
      </c>
      <c r="L31" s="1" t="s">
        <v>38</v>
      </c>
      <c r="M31" s="1" t="s">
        <v>38</v>
      </c>
      <c r="N31" s="3" t="s">
        <v>39</v>
      </c>
      <c r="O31" s="3" t="s">
        <v>39</v>
      </c>
      <c r="P31" s="3" t="s">
        <v>39</v>
      </c>
    </row>
    <row r="32" spans="1:16" ht="90" thickBot="1" x14ac:dyDescent="0.3">
      <c r="A32" s="2">
        <v>1</v>
      </c>
      <c r="B32" s="1" t="s">
        <v>16</v>
      </c>
      <c r="C32" s="1" t="s">
        <v>54</v>
      </c>
      <c r="D32" s="1" t="s">
        <v>18</v>
      </c>
      <c r="E32" s="1" t="s">
        <v>37</v>
      </c>
      <c r="F32" s="1" t="s">
        <v>38</v>
      </c>
      <c r="G32" s="1" t="s">
        <v>38</v>
      </c>
      <c r="H32" s="1" t="s">
        <v>38</v>
      </c>
      <c r="I32" s="1" t="s">
        <v>38</v>
      </c>
      <c r="J32" s="1" t="s">
        <v>38</v>
      </c>
      <c r="K32" s="1" t="s">
        <v>38</v>
      </c>
      <c r="L32" s="1" t="s">
        <v>38</v>
      </c>
      <c r="M32" s="1" t="s">
        <v>38</v>
      </c>
      <c r="N32" s="3" t="s">
        <v>39</v>
      </c>
      <c r="O32" s="3" t="s">
        <v>39</v>
      </c>
      <c r="P32" s="3" t="s">
        <v>39</v>
      </c>
    </row>
    <row r="33" spans="1:16" ht="115.5" thickBot="1" x14ac:dyDescent="0.3">
      <c r="A33" s="2">
        <v>1</v>
      </c>
      <c r="B33" s="1" t="s">
        <v>16</v>
      </c>
      <c r="C33" s="1" t="s">
        <v>55</v>
      </c>
      <c r="D33" s="1" t="s">
        <v>18</v>
      </c>
      <c r="E33" s="1" t="s">
        <v>37</v>
      </c>
      <c r="F33" s="1" t="s">
        <v>38</v>
      </c>
      <c r="G33" s="1" t="s">
        <v>38</v>
      </c>
      <c r="H33" s="1" t="s">
        <v>38</v>
      </c>
      <c r="I33" s="1" t="s">
        <v>38</v>
      </c>
      <c r="J33" s="1" t="s">
        <v>38</v>
      </c>
      <c r="K33" s="1" t="s">
        <v>38</v>
      </c>
      <c r="L33" s="1" t="s">
        <v>38</v>
      </c>
      <c r="M33" s="1" t="s">
        <v>38</v>
      </c>
      <c r="N33" s="3" t="s">
        <v>39</v>
      </c>
      <c r="O33" s="3" t="s">
        <v>39</v>
      </c>
      <c r="P33" s="3" t="s">
        <v>39</v>
      </c>
    </row>
    <row r="34" spans="1:16" ht="128.25" thickBot="1" x14ac:dyDescent="0.3">
      <c r="A34" s="2">
        <v>1</v>
      </c>
      <c r="B34" s="1" t="s">
        <v>16</v>
      </c>
      <c r="C34" s="1" t="s">
        <v>56</v>
      </c>
      <c r="D34" s="1" t="s">
        <v>18</v>
      </c>
      <c r="E34" s="1" t="s">
        <v>37</v>
      </c>
      <c r="F34" s="1" t="s">
        <v>38</v>
      </c>
      <c r="G34" s="1" t="s">
        <v>38</v>
      </c>
      <c r="H34" s="1" t="s">
        <v>38</v>
      </c>
      <c r="I34" s="1" t="s">
        <v>38</v>
      </c>
      <c r="J34" s="1" t="s">
        <v>38</v>
      </c>
      <c r="K34" s="1" t="s">
        <v>38</v>
      </c>
      <c r="L34" s="1" t="s">
        <v>38</v>
      </c>
      <c r="M34" s="1" t="s">
        <v>38</v>
      </c>
      <c r="N34" s="3" t="s">
        <v>39</v>
      </c>
      <c r="O34" s="3" t="s">
        <v>39</v>
      </c>
      <c r="P34" s="3" t="s">
        <v>39</v>
      </c>
    </row>
    <row r="35" spans="1:16" ht="90" thickBot="1" x14ac:dyDescent="0.3">
      <c r="A35" s="2">
        <v>1</v>
      </c>
      <c r="B35" s="1" t="s">
        <v>16</v>
      </c>
      <c r="C35" s="1" t="s">
        <v>57</v>
      </c>
      <c r="D35" s="1" t="s">
        <v>41</v>
      </c>
      <c r="E35" s="1" t="s">
        <v>37</v>
      </c>
      <c r="F35" s="1" t="s">
        <v>38</v>
      </c>
      <c r="G35" s="1" t="s">
        <v>38</v>
      </c>
      <c r="H35" s="1" t="s">
        <v>38</v>
      </c>
      <c r="I35" s="1" t="s">
        <v>38</v>
      </c>
      <c r="J35" s="1" t="s">
        <v>38</v>
      </c>
      <c r="K35" s="1" t="s">
        <v>38</v>
      </c>
      <c r="L35" s="1" t="s">
        <v>38</v>
      </c>
      <c r="M35" s="1" t="s">
        <v>38</v>
      </c>
      <c r="N35" s="3" t="s">
        <v>39</v>
      </c>
      <c r="O35" s="3" t="s">
        <v>39</v>
      </c>
      <c r="P35" s="3" t="s">
        <v>39</v>
      </c>
    </row>
    <row r="36" spans="1:16" ht="115.5" thickBot="1" x14ac:dyDescent="0.3">
      <c r="A36" s="2">
        <v>1</v>
      </c>
      <c r="B36" s="1" t="s">
        <v>16</v>
      </c>
      <c r="C36" s="1" t="s">
        <v>58</v>
      </c>
      <c r="D36" s="1" t="s">
        <v>41</v>
      </c>
      <c r="E36" s="1" t="s">
        <v>37</v>
      </c>
      <c r="F36" s="1" t="s">
        <v>38</v>
      </c>
      <c r="G36" s="1" t="s">
        <v>38</v>
      </c>
      <c r="H36" s="1" t="s">
        <v>38</v>
      </c>
      <c r="I36" s="1" t="s">
        <v>38</v>
      </c>
      <c r="J36" s="1" t="s">
        <v>38</v>
      </c>
      <c r="K36" s="1" t="s">
        <v>38</v>
      </c>
      <c r="L36" s="1" t="s">
        <v>38</v>
      </c>
      <c r="M36" s="1" t="s">
        <v>38</v>
      </c>
      <c r="N36" s="3" t="s">
        <v>39</v>
      </c>
      <c r="O36" s="3" t="s">
        <v>39</v>
      </c>
      <c r="P36" s="3" t="s">
        <v>39</v>
      </c>
    </row>
    <row r="37" spans="1:16" ht="102.75" thickBot="1" x14ac:dyDescent="0.3">
      <c r="A37" s="2">
        <v>1</v>
      </c>
      <c r="B37" s="1" t="s">
        <v>16</v>
      </c>
      <c r="C37" s="1" t="s">
        <v>59</v>
      </c>
      <c r="D37" s="1" t="s">
        <v>18</v>
      </c>
      <c r="E37" s="1" t="s">
        <v>37</v>
      </c>
      <c r="F37" s="1" t="s">
        <v>38</v>
      </c>
      <c r="G37" s="1" t="s">
        <v>38</v>
      </c>
      <c r="H37" s="1" t="s">
        <v>38</v>
      </c>
      <c r="I37" s="1" t="s">
        <v>38</v>
      </c>
      <c r="J37" s="1" t="s">
        <v>38</v>
      </c>
      <c r="K37" s="1" t="s">
        <v>38</v>
      </c>
      <c r="L37" s="1" t="s">
        <v>38</v>
      </c>
      <c r="M37" s="1" t="s">
        <v>38</v>
      </c>
      <c r="N37" s="3" t="s">
        <v>39</v>
      </c>
      <c r="O37" s="3" t="s">
        <v>39</v>
      </c>
      <c r="P37" s="3" t="s">
        <v>39</v>
      </c>
    </row>
    <row r="38" spans="1:16" ht="115.5" thickBot="1" x14ac:dyDescent="0.3">
      <c r="A38" s="2">
        <v>1</v>
      </c>
      <c r="B38" s="1" t="s">
        <v>16</v>
      </c>
      <c r="C38" s="1" t="s">
        <v>60</v>
      </c>
      <c r="D38" s="1" t="s">
        <v>46</v>
      </c>
      <c r="E38" s="1" t="s">
        <v>37</v>
      </c>
      <c r="F38" s="1" t="s">
        <v>38</v>
      </c>
      <c r="G38" s="1" t="s">
        <v>38</v>
      </c>
      <c r="H38" s="1" t="s">
        <v>38</v>
      </c>
      <c r="I38" s="1" t="s">
        <v>38</v>
      </c>
      <c r="J38" s="1" t="s">
        <v>38</v>
      </c>
      <c r="K38" s="1" t="s">
        <v>38</v>
      </c>
      <c r="L38" s="1" t="s">
        <v>38</v>
      </c>
      <c r="M38" s="1" t="s">
        <v>38</v>
      </c>
      <c r="N38" s="3" t="s">
        <v>39</v>
      </c>
      <c r="O38" s="3" t="s">
        <v>39</v>
      </c>
      <c r="P38" s="3" t="s">
        <v>39</v>
      </c>
    </row>
    <row r="39" spans="1:16" ht="128.25" thickBot="1" x14ac:dyDescent="0.3">
      <c r="A39" s="2">
        <v>1</v>
      </c>
      <c r="B39" s="1" t="s">
        <v>16</v>
      </c>
      <c r="C39" s="1" t="s">
        <v>61</v>
      </c>
      <c r="D39" s="1" t="s">
        <v>41</v>
      </c>
      <c r="E39" s="1" t="s">
        <v>37</v>
      </c>
      <c r="F39" s="1" t="s">
        <v>38</v>
      </c>
      <c r="G39" s="1" t="s">
        <v>38</v>
      </c>
      <c r="H39" s="1" t="s">
        <v>38</v>
      </c>
      <c r="I39" s="1" t="s">
        <v>38</v>
      </c>
      <c r="J39" s="1" t="s">
        <v>38</v>
      </c>
      <c r="K39" s="1" t="s">
        <v>38</v>
      </c>
      <c r="L39" s="1" t="s">
        <v>38</v>
      </c>
      <c r="M39" s="1" t="s">
        <v>38</v>
      </c>
      <c r="N39" s="3" t="s">
        <v>39</v>
      </c>
      <c r="O39" s="3" t="s">
        <v>39</v>
      </c>
      <c r="P39" s="3" t="s">
        <v>39</v>
      </c>
    </row>
    <row r="40" spans="1:16" ht="77.25" thickBot="1" x14ac:dyDescent="0.3">
      <c r="A40" s="2">
        <v>1</v>
      </c>
      <c r="B40" s="1" t="s">
        <v>62</v>
      </c>
      <c r="C40" s="1" t="s">
        <v>63</v>
      </c>
      <c r="D40" s="1" t="s">
        <v>18</v>
      </c>
      <c r="E40" s="1" t="s">
        <v>37</v>
      </c>
      <c r="F40" s="1" t="s">
        <v>38</v>
      </c>
      <c r="G40" s="1" t="s">
        <v>38</v>
      </c>
      <c r="H40" s="1" t="s">
        <v>38</v>
      </c>
      <c r="I40" s="1" t="s">
        <v>38</v>
      </c>
      <c r="J40" s="1" t="s">
        <v>38</v>
      </c>
      <c r="K40" s="1" t="s">
        <v>38</v>
      </c>
      <c r="L40" s="1" t="s">
        <v>38</v>
      </c>
      <c r="M40" s="1" t="s">
        <v>38</v>
      </c>
      <c r="N40" s="3" t="s">
        <v>39</v>
      </c>
      <c r="O40" s="3" t="s">
        <v>39</v>
      </c>
      <c r="P40" s="3" t="s">
        <v>39</v>
      </c>
    </row>
    <row r="41" spans="1:16" ht="102.75" thickBot="1" x14ac:dyDescent="0.3">
      <c r="A41" s="2">
        <v>1</v>
      </c>
      <c r="B41" s="1" t="s">
        <v>62</v>
      </c>
      <c r="C41" s="1" t="s">
        <v>147</v>
      </c>
      <c r="D41" s="1" t="s">
        <v>18</v>
      </c>
      <c r="E41" s="1" t="s">
        <v>37</v>
      </c>
      <c r="F41" s="1" t="s">
        <v>38</v>
      </c>
      <c r="G41" s="1" t="s">
        <v>38</v>
      </c>
      <c r="H41" s="1" t="s">
        <v>38</v>
      </c>
      <c r="I41" s="1" t="s">
        <v>38</v>
      </c>
      <c r="J41" s="1" t="s">
        <v>38</v>
      </c>
      <c r="K41" s="1" t="s">
        <v>38</v>
      </c>
      <c r="L41" s="1" t="s">
        <v>38</v>
      </c>
      <c r="M41" s="1" t="s">
        <v>38</v>
      </c>
      <c r="N41" s="3" t="s">
        <v>39</v>
      </c>
      <c r="O41" s="3" t="s">
        <v>39</v>
      </c>
      <c r="P41" s="3" t="s">
        <v>39</v>
      </c>
    </row>
    <row r="42" spans="1:16" ht="90" thickBot="1" x14ac:dyDescent="0.3">
      <c r="A42" s="2">
        <v>1</v>
      </c>
      <c r="B42" s="1" t="s">
        <v>62</v>
      </c>
      <c r="C42" s="1" t="s">
        <v>64</v>
      </c>
      <c r="D42" s="1" t="s">
        <v>41</v>
      </c>
      <c r="E42" s="1" t="s">
        <v>37</v>
      </c>
      <c r="F42" s="1" t="s">
        <v>38</v>
      </c>
      <c r="G42" s="1" t="s">
        <v>38</v>
      </c>
      <c r="H42" s="1" t="s">
        <v>38</v>
      </c>
      <c r="I42" s="1" t="s">
        <v>38</v>
      </c>
      <c r="J42" s="1" t="s">
        <v>38</v>
      </c>
      <c r="K42" s="1" t="s">
        <v>38</v>
      </c>
      <c r="L42" s="1" t="s">
        <v>38</v>
      </c>
      <c r="M42" s="1" t="s">
        <v>38</v>
      </c>
      <c r="N42" s="3" t="s">
        <v>39</v>
      </c>
      <c r="O42" s="3" t="s">
        <v>39</v>
      </c>
      <c r="P42" s="3" t="s">
        <v>39</v>
      </c>
    </row>
    <row r="43" spans="1:16" ht="77.25" thickBot="1" x14ac:dyDescent="0.3">
      <c r="A43" s="2">
        <v>1</v>
      </c>
      <c r="B43" s="1" t="s">
        <v>62</v>
      </c>
      <c r="C43" s="1" t="s">
        <v>65</v>
      </c>
      <c r="D43" s="1" t="s">
        <v>46</v>
      </c>
      <c r="E43" s="1" t="s">
        <v>37</v>
      </c>
      <c r="F43" s="1" t="s">
        <v>38</v>
      </c>
      <c r="G43" s="1" t="s">
        <v>38</v>
      </c>
      <c r="H43" s="1" t="s">
        <v>38</v>
      </c>
      <c r="I43" s="1" t="s">
        <v>38</v>
      </c>
      <c r="J43" s="1" t="s">
        <v>38</v>
      </c>
      <c r="K43" s="1" t="s">
        <v>38</v>
      </c>
      <c r="L43" s="1" t="s">
        <v>38</v>
      </c>
      <c r="M43" s="1" t="s">
        <v>38</v>
      </c>
      <c r="N43" s="3" t="s">
        <v>39</v>
      </c>
      <c r="O43" s="3" t="s">
        <v>39</v>
      </c>
      <c r="P43" s="3" t="s">
        <v>39</v>
      </c>
    </row>
    <row r="44" spans="1:16" ht="77.25" thickBot="1" x14ac:dyDescent="0.3">
      <c r="A44" s="2">
        <v>1</v>
      </c>
      <c r="B44" s="1" t="s">
        <v>66</v>
      </c>
      <c r="C44" s="1" t="s">
        <v>67</v>
      </c>
      <c r="D44" s="1" t="s">
        <v>68</v>
      </c>
      <c r="E44" s="1" t="s">
        <v>37</v>
      </c>
      <c r="F44" s="1" t="s">
        <v>38</v>
      </c>
      <c r="G44" s="1" t="s">
        <v>38</v>
      </c>
      <c r="H44" s="1" t="s">
        <v>38</v>
      </c>
      <c r="I44" s="1" t="s">
        <v>38</v>
      </c>
      <c r="J44" s="1" t="s">
        <v>38</v>
      </c>
      <c r="K44" s="1" t="s">
        <v>38</v>
      </c>
      <c r="L44" s="1" t="s">
        <v>38</v>
      </c>
      <c r="M44" s="1" t="s">
        <v>38</v>
      </c>
      <c r="N44" s="3" t="s">
        <v>39</v>
      </c>
      <c r="O44" s="3" t="s">
        <v>39</v>
      </c>
      <c r="P44" s="3" t="s">
        <v>39</v>
      </c>
    </row>
    <row r="45" spans="1:16" ht="90" thickBot="1" x14ac:dyDescent="0.3">
      <c r="A45" s="2">
        <v>1</v>
      </c>
      <c r="B45" s="1" t="s">
        <v>62</v>
      </c>
      <c r="C45" s="1" t="s">
        <v>69</v>
      </c>
      <c r="D45" s="1" t="s">
        <v>41</v>
      </c>
      <c r="E45" s="1" t="s">
        <v>37</v>
      </c>
      <c r="F45" s="1" t="s">
        <v>38</v>
      </c>
      <c r="G45" s="1" t="s">
        <v>38</v>
      </c>
      <c r="H45" s="1" t="s">
        <v>38</v>
      </c>
      <c r="I45" s="1" t="s">
        <v>38</v>
      </c>
      <c r="J45" s="1" t="s">
        <v>38</v>
      </c>
      <c r="K45" s="1" t="s">
        <v>38</v>
      </c>
      <c r="L45" s="1" t="s">
        <v>38</v>
      </c>
      <c r="M45" s="1" t="s">
        <v>38</v>
      </c>
      <c r="N45" s="3" t="s">
        <v>39</v>
      </c>
      <c r="O45" s="3" t="s">
        <v>39</v>
      </c>
      <c r="P45" s="3" t="s">
        <v>39</v>
      </c>
    </row>
    <row r="46" spans="1:16" ht="90" thickBot="1" x14ac:dyDescent="0.3">
      <c r="A46" s="2">
        <v>1</v>
      </c>
      <c r="B46" s="1" t="s">
        <v>62</v>
      </c>
      <c r="C46" s="1" t="s">
        <v>70</v>
      </c>
      <c r="D46" s="1" t="s">
        <v>41</v>
      </c>
      <c r="E46" s="1" t="s">
        <v>37</v>
      </c>
      <c r="F46" s="1" t="s">
        <v>38</v>
      </c>
      <c r="G46" s="1" t="s">
        <v>38</v>
      </c>
      <c r="H46" s="1" t="s">
        <v>38</v>
      </c>
      <c r="I46" s="1" t="s">
        <v>38</v>
      </c>
      <c r="J46" s="1" t="s">
        <v>38</v>
      </c>
      <c r="K46" s="1" t="s">
        <v>38</v>
      </c>
      <c r="L46" s="1" t="s">
        <v>38</v>
      </c>
      <c r="M46" s="1" t="s">
        <v>38</v>
      </c>
      <c r="N46" s="3" t="s">
        <v>39</v>
      </c>
      <c r="O46" s="3" t="s">
        <v>39</v>
      </c>
      <c r="P46" s="3" t="s">
        <v>39</v>
      </c>
    </row>
    <row r="47" spans="1:16" ht="90" thickBot="1" x14ac:dyDescent="0.3">
      <c r="A47" s="2">
        <v>1</v>
      </c>
      <c r="B47" s="1" t="s">
        <v>71</v>
      </c>
      <c r="C47" s="1" t="s">
        <v>72</v>
      </c>
      <c r="D47" s="1" t="s">
        <v>18</v>
      </c>
      <c r="E47" s="1" t="s">
        <v>37</v>
      </c>
      <c r="F47" s="1" t="s">
        <v>38</v>
      </c>
      <c r="G47" s="1" t="s">
        <v>38</v>
      </c>
      <c r="H47" s="1" t="s">
        <v>38</v>
      </c>
      <c r="I47" s="1" t="s">
        <v>38</v>
      </c>
      <c r="J47" s="1" t="s">
        <v>38</v>
      </c>
      <c r="K47" s="1" t="s">
        <v>38</v>
      </c>
      <c r="L47" s="1" t="s">
        <v>38</v>
      </c>
      <c r="M47" s="1" t="s">
        <v>38</v>
      </c>
      <c r="N47" s="3" t="s">
        <v>39</v>
      </c>
      <c r="O47" s="3" t="s">
        <v>39</v>
      </c>
      <c r="P47" s="3" t="s">
        <v>39</v>
      </c>
    </row>
    <row r="48" spans="1:16" ht="77.25" thickBot="1" x14ac:dyDescent="0.3">
      <c r="A48" s="2">
        <v>1</v>
      </c>
      <c r="B48" s="1" t="s">
        <v>71</v>
      </c>
      <c r="C48" s="1" t="s">
        <v>148</v>
      </c>
      <c r="D48" s="1" t="s">
        <v>18</v>
      </c>
      <c r="E48" s="1" t="s">
        <v>37</v>
      </c>
      <c r="F48" s="1" t="s">
        <v>38</v>
      </c>
      <c r="G48" s="1" t="s">
        <v>38</v>
      </c>
      <c r="H48" s="1" t="s">
        <v>38</v>
      </c>
      <c r="I48" s="1" t="s">
        <v>38</v>
      </c>
      <c r="J48" s="1" t="s">
        <v>38</v>
      </c>
      <c r="K48" s="1" t="s">
        <v>38</v>
      </c>
      <c r="L48" s="1" t="s">
        <v>38</v>
      </c>
      <c r="M48" s="1" t="s">
        <v>38</v>
      </c>
      <c r="N48" s="3" t="s">
        <v>39</v>
      </c>
      <c r="O48" s="3" t="s">
        <v>39</v>
      </c>
      <c r="P48" s="3" t="s">
        <v>39</v>
      </c>
    </row>
    <row r="49" spans="1:16" ht="77.25" thickBot="1" x14ac:dyDescent="0.3">
      <c r="A49" s="2">
        <v>1</v>
      </c>
      <c r="B49" s="1" t="s">
        <v>71</v>
      </c>
      <c r="C49" s="1" t="s">
        <v>73</v>
      </c>
      <c r="D49" s="1" t="s">
        <v>41</v>
      </c>
      <c r="E49" s="1" t="s">
        <v>37</v>
      </c>
      <c r="F49" s="1" t="s">
        <v>38</v>
      </c>
      <c r="G49" s="1" t="s">
        <v>38</v>
      </c>
      <c r="H49" s="1" t="s">
        <v>38</v>
      </c>
      <c r="I49" s="1" t="s">
        <v>38</v>
      </c>
      <c r="J49" s="1" t="s">
        <v>38</v>
      </c>
      <c r="K49" s="1" t="s">
        <v>38</v>
      </c>
      <c r="L49" s="1" t="s">
        <v>38</v>
      </c>
      <c r="M49" s="1" t="s">
        <v>38</v>
      </c>
      <c r="N49" s="3" t="s">
        <v>39</v>
      </c>
      <c r="O49" s="3" t="s">
        <v>39</v>
      </c>
      <c r="P49" s="3" t="s">
        <v>39</v>
      </c>
    </row>
    <row r="50" spans="1:16" ht="77.25" thickBot="1" x14ac:dyDescent="0.3">
      <c r="A50" s="2">
        <v>1</v>
      </c>
      <c r="B50" s="1" t="s">
        <v>74</v>
      </c>
      <c r="C50" s="1" t="s">
        <v>75</v>
      </c>
      <c r="D50" s="1" t="s">
        <v>41</v>
      </c>
      <c r="E50" s="1" t="s">
        <v>37</v>
      </c>
      <c r="F50" s="1" t="s">
        <v>38</v>
      </c>
      <c r="G50" s="1" t="s">
        <v>38</v>
      </c>
      <c r="H50" s="1" t="s">
        <v>38</v>
      </c>
      <c r="I50" s="1" t="s">
        <v>38</v>
      </c>
      <c r="J50" s="1" t="s">
        <v>38</v>
      </c>
      <c r="K50" s="1" t="s">
        <v>38</v>
      </c>
      <c r="L50" s="1" t="s">
        <v>38</v>
      </c>
      <c r="M50" s="1" t="s">
        <v>38</v>
      </c>
      <c r="N50" s="3" t="s">
        <v>39</v>
      </c>
      <c r="O50" s="3" t="s">
        <v>39</v>
      </c>
      <c r="P50" s="3" t="s">
        <v>39</v>
      </c>
    </row>
    <row r="51" spans="1:16" ht="102.75" thickBot="1" x14ac:dyDescent="0.3">
      <c r="A51" s="2">
        <v>1</v>
      </c>
      <c r="B51" s="1" t="s">
        <v>74</v>
      </c>
      <c r="C51" s="1" t="s">
        <v>76</v>
      </c>
      <c r="D51" s="1" t="s">
        <v>18</v>
      </c>
      <c r="E51" s="1" t="s">
        <v>37</v>
      </c>
      <c r="F51" s="1" t="s">
        <v>38</v>
      </c>
      <c r="G51" s="1" t="s">
        <v>38</v>
      </c>
      <c r="H51" s="1" t="s">
        <v>38</v>
      </c>
      <c r="I51" s="1" t="s">
        <v>38</v>
      </c>
      <c r="J51" s="1" t="s">
        <v>38</v>
      </c>
      <c r="K51" s="1" t="s">
        <v>38</v>
      </c>
      <c r="L51" s="1" t="s">
        <v>38</v>
      </c>
      <c r="M51" s="1" t="s">
        <v>38</v>
      </c>
      <c r="N51" s="3" t="s">
        <v>39</v>
      </c>
      <c r="O51" s="3" t="s">
        <v>39</v>
      </c>
      <c r="P51" s="3" t="s">
        <v>39</v>
      </c>
    </row>
    <row r="52" spans="1:16" ht="90" thickBot="1" x14ac:dyDescent="0.3">
      <c r="A52" s="2">
        <v>1</v>
      </c>
      <c r="B52" s="1" t="s">
        <v>74</v>
      </c>
      <c r="C52" s="1" t="s">
        <v>77</v>
      </c>
      <c r="D52" s="1" t="s">
        <v>18</v>
      </c>
      <c r="E52" s="1" t="s">
        <v>37</v>
      </c>
      <c r="F52" s="1" t="s">
        <v>38</v>
      </c>
      <c r="G52" s="1" t="s">
        <v>38</v>
      </c>
      <c r="H52" s="1" t="s">
        <v>38</v>
      </c>
      <c r="I52" s="1" t="s">
        <v>38</v>
      </c>
      <c r="J52" s="1" t="s">
        <v>38</v>
      </c>
      <c r="K52" s="1" t="s">
        <v>38</v>
      </c>
      <c r="L52" s="1" t="s">
        <v>38</v>
      </c>
      <c r="M52" s="1" t="s">
        <v>38</v>
      </c>
      <c r="N52" s="3" t="s">
        <v>39</v>
      </c>
      <c r="O52" s="3" t="s">
        <v>39</v>
      </c>
      <c r="P52" s="3" t="s">
        <v>39</v>
      </c>
    </row>
    <row r="53" spans="1:16" ht="102.75" thickBot="1" x14ac:dyDescent="0.3">
      <c r="A53" s="2">
        <v>1</v>
      </c>
      <c r="B53" s="1" t="s">
        <v>74</v>
      </c>
      <c r="C53" s="1" t="s">
        <v>78</v>
      </c>
      <c r="D53" s="1" t="s">
        <v>18</v>
      </c>
      <c r="E53" s="1" t="s">
        <v>37</v>
      </c>
      <c r="F53" s="1" t="s">
        <v>38</v>
      </c>
      <c r="G53" s="1" t="s">
        <v>38</v>
      </c>
      <c r="H53" s="1" t="s">
        <v>38</v>
      </c>
      <c r="I53" s="1" t="s">
        <v>38</v>
      </c>
      <c r="J53" s="1" t="s">
        <v>38</v>
      </c>
      <c r="K53" s="1" t="s">
        <v>38</v>
      </c>
      <c r="L53" s="1" t="s">
        <v>38</v>
      </c>
      <c r="M53" s="1" t="s">
        <v>38</v>
      </c>
      <c r="N53" s="3" t="s">
        <v>39</v>
      </c>
      <c r="O53" s="3" t="s">
        <v>39</v>
      </c>
      <c r="P53" s="3" t="s">
        <v>39</v>
      </c>
    </row>
    <row r="54" spans="1:16" ht="90" thickBot="1" x14ac:dyDescent="0.3">
      <c r="A54" s="2">
        <v>1</v>
      </c>
      <c r="B54" s="1" t="s">
        <v>74</v>
      </c>
      <c r="C54" s="1" t="s">
        <v>79</v>
      </c>
      <c r="D54" s="1" t="s">
        <v>18</v>
      </c>
      <c r="E54" s="1" t="s">
        <v>37</v>
      </c>
      <c r="F54" s="1" t="s">
        <v>38</v>
      </c>
      <c r="G54" s="1" t="s">
        <v>38</v>
      </c>
      <c r="H54" s="1" t="s">
        <v>38</v>
      </c>
      <c r="I54" s="1" t="s">
        <v>38</v>
      </c>
      <c r="J54" s="1" t="s">
        <v>38</v>
      </c>
      <c r="K54" s="1" t="s">
        <v>38</v>
      </c>
      <c r="L54" s="1" t="s">
        <v>38</v>
      </c>
      <c r="M54" s="1" t="s">
        <v>38</v>
      </c>
      <c r="N54" s="3" t="s">
        <v>39</v>
      </c>
      <c r="O54" s="3" t="s">
        <v>39</v>
      </c>
      <c r="P54" s="3" t="s">
        <v>39</v>
      </c>
    </row>
    <row r="55" spans="1:16" ht="77.25" thickBot="1" x14ac:dyDescent="0.3">
      <c r="A55" s="2">
        <v>1</v>
      </c>
      <c r="B55" s="1" t="s">
        <v>66</v>
      </c>
      <c r="C55" s="1" t="s">
        <v>80</v>
      </c>
      <c r="D55" s="1" t="s">
        <v>68</v>
      </c>
      <c r="E55" s="1" t="s">
        <v>37</v>
      </c>
      <c r="F55" s="1" t="s">
        <v>38</v>
      </c>
      <c r="G55" s="1" t="s">
        <v>38</v>
      </c>
      <c r="H55" s="1" t="s">
        <v>38</v>
      </c>
      <c r="I55" s="1" t="s">
        <v>38</v>
      </c>
      <c r="J55" s="1" t="s">
        <v>38</v>
      </c>
      <c r="K55" s="1" t="s">
        <v>38</v>
      </c>
      <c r="L55" s="1" t="s">
        <v>38</v>
      </c>
      <c r="M55" s="1" t="s">
        <v>38</v>
      </c>
      <c r="N55" s="3" t="s">
        <v>39</v>
      </c>
      <c r="O55" s="3" t="s">
        <v>39</v>
      </c>
      <c r="P55" s="3" t="s">
        <v>39</v>
      </c>
    </row>
    <row r="56" spans="1:16" ht="90" thickBot="1" x14ac:dyDescent="0.3">
      <c r="A56" s="2">
        <v>1</v>
      </c>
      <c r="B56" s="1" t="s">
        <v>66</v>
      </c>
      <c r="C56" s="1" t="s">
        <v>81</v>
      </c>
      <c r="D56" s="1" t="s">
        <v>46</v>
      </c>
      <c r="E56" s="1" t="s">
        <v>37</v>
      </c>
      <c r="F56" s="1" t="s">
        <v>38</v>
      </c>
      <c r="G56" s="1" t="s">
        <v>38</v>
      </c>
      <c r="H56" s="1" t="s">
        <v>38</v>
      </c>
      <c r="I56" s="1" t="s">
        <v>38</v>
      </c>
      <c r="J56" s="1" t="s">
        <v>38</v>
      </c>
      <c r="K56" s="1" t="s">
        <v>38</v>
      </c>
      <c r="L56" s="1" t="s">
        <v>38</v>
      </c>
      <c r="M56" s="1" t="s">
        <v>38</v>
      </c>
      <c r="N56" s="3" t="s">
        <v>39</v>
      </c>
      <c r="O56" s="3" t="s">
        <v>39</v>
      </c>
      <c r="P56" s="3" t="s">
        <v>39</v>
      </c>
    </row>
    <row r="57" spans="1:16" ht="90" thickBot="1" x14ac:dyDescent="0.3">
      <c r="A57" s="2">
        <v>1</v>
      </c>
      <c r="B57" s="1" t="s">
        <v>82</v>
      </c>
      <c r="C57" s="1" t="s">
        <v>83</v>
      </c>
      <c r="D57" s="1" t="s">
        <v>18</v>
      </c>
      <c r="E57" s="1" t="s">
        <v>37</v>
      </c>
      <c r="F57" s="1" t="s">
        <v>38</v>
      </c>
      <c r="G57" s="1" t="s">
        <v>38</v>
      </c>
      <c r="H57" s="1" t="s">
        <v>38</v>
      </c>
      <c r="I57" s="1" t="s">
        <v>38</v>
      </c>
      <c r="J57" s="1" t="s">
        <v>38</v>
      </c>
      <c r="K57" s="1" t="s">
        <v>38</v>
      </c>
      <c r="L57" s="1" t="s">
        <v>38</v>
      </c>
      <c r="M57" s="1" t="s">
        <v>38</v>
      </c>
      <c r="N57" s="3" t="s">
        <v>39</v>
      </c>
      <c r="O57" s="3" t="s">
        <v>39</v>
      </c>
      <c r="P57" s="3" t="s">
        <v>39</v>
      </c>
    </row>
    <row r="58" spans="1:16" ht="102.75" thickBot="1" x14ac:dyDescent="0.3">
      <c r="A58" s="2">
        <v>1</v>
      </c>
      <c r="B58" s="1" t="s">
        <v>82</v>
      </c>
      <c r="C58" s="1" t="s">
        <v>84</v>
      </c>
      <c r="D58" s="1" t="s">
        <v>18</v>
      </c>
      <c r="E58" s="1" t="s">
        <v>37</v>
      </c>
      <c r="F58" s="1" t="s">
        <v>38</v>
      </c>
      <c r="G58" s="1" t="s">
        <v>38</v>
      </c>
      <c r="H58" s="1" t="s">
        <v>38</v>
      </c>
      <c r="I58" s="1" t="s">
        <v>38</v>
      </c>
      <c r="J58" s="1" t="s">
        <v>38</v>
      </c>
      <c r="K58" s="1" t="s">
        <v>38</v>
      </c>
      <c r="L58" s="1" t="s">
        <v>38</v>
      </c>
      <c r="M58" s="1" t="s">
        <v>38</v>
      </c>
      <c r="N58" s="3" t="s">
        <v>39</v>
      </c>
      <c r="O58" s="3" t="s">
        <v>39</v>
      </c>
      <c r="P58" s="3" t="s">
        <v>39</v>
      </c>
    </row>
    <row r="59" spans="1:16" ht="115.5" thickBot="1" x14ac:dyDescent="0.3">
      <c r="A59" s="2">
        <v>1</v>
      </c>
      <c r="B59" s="1" t="s">
        <v>82</v>
      </c>
      <c r="C59" s="1" t="s">
        <v>85</v>
      </c>
      <c r="D59" s="1" t="s">
        <v>68</v>
      </c>
      <c r="E59" s="1" t="s">
        <v>37</v>
      </c>
      <c r="F59" s="1" t="s">
        <v>38</v>
      </c>
      <c r="G59" s="1" t="s">
        <v>38</v>
      </c>
      <c r="H59" s="1" t="s">
        <v>38</v>
      </c>
      <c r="I59" s="1" t="s">
        <v>38</v>
      </c>
      <c r="J59" s="1" t="s">
        <v>38</v>
      </c>
      <c r="K59" s="1" t="s">
        <v>38</v>
      </c>
      <c r="L59" s="1" t="s">
        <v>38</v>
      </c>
      <c r="M59" s="1" t="s">
        <v>38</v>
      </c>
      <c r="N59" s="3" t="s">
        <v>39</v>
      </c>
      <c r="O59" s="3" t="s">
        <v>39</v>
      </c>
      <c r="P59" s="3" t="s">
        <v>39</v>
      </c>
    </row>
    <row r="60" spans="1:16" ht="90" thickBot="1" x14ac:dyDescent="0.3">
      <c r="A60" s="2">
        <v>1</v>
      </c>
      <c r="B60" s="1" t="s">
        <v>82</v>
      </c>
      <c r="C60" s="1" t="s">
        <v>86</v>
      </c>
      <c r="D60" s="1" t="s">
        <v>46</v>
      </c>
      <c r="E60" s="1" t="s">
        <v>37</v>
      </c>
      <c r="F60" s="1" t="s">
        <v>38</v>
      </c>
      <c r="G60" s="1" t="s">
        <v>38</v>
      </c>
      <c r="H60" s="1" t="s">
        <v>38</v>
      </c>
      <c r="I60" s="1" t="s">
        <v>38</v>
      </c>
      <c r="J60" s="1" t="s">
        <v>38</v>
      </c>
      <c r="K60" s="1" t="s">
        <v>38</v>
      </c>
      <c r="L60" s="1" t="s">
        <v>38</v>
      </c>
      <c r="M60" s="1" t="s">
        <v>38</v>
      </c>
      <c r="N60" s="3" t="s">
        <v>39</v>
      </c>
      <c r="O60" s="3" t="s">
        <v>39</v>
      </c>
      <c r="P60" s="3" t="s">
        <v>39</v>
      </c>
    </row>
    <row r="61" spans="1:16" ht="102.75" thickBot="1" x14ac:dyDescent="0.3">
      <c r="A61" s="2">
        <v>1</v>
      </c>
      <c r="B61" s="1" t="s">
        <v>82</v>
      </c>
      <c r="C61" s="1" t="s">
        <v>87</v>
      </c>
      <c r="D61" s="1" t="s">
        <v>68</v>
      </c>
      <c r="E61" s="1" t="s">
        <v>37</v>
      </c>
      <c r="F61" s="1" t="s">
        <v>38</v>
      </c>
      <c r="G61" s="1" t="s">
        <v>38</v>
      </c>
      <c r="H61" s="1" t="s">
        <v>38</v>
      </c>
      <c r="I61" s="1" t="s">
        <v>38</v>
      </c>
      <c r="J61" s="1" t="s">
        <v>38</v>
      </c>
      <c r="K61" s="1" t="s">
        <v>38</v>
      </c>
      <c r="L61" s="1" t="s">
        <v>38</v>
      </c>
      <c r="M61" s="1" t="s">
        <v>38</v>
      </c>
      <c r="N61" s="3" t="s">
        <v>39</v>
      </c>
      <c r="O61" s="3" t="s">
        <v>39</v>
      </c>
      <c r="P61" s="3" t="s">
        <v>39</v>
      </c>
    </row>
    <row r="62" spans="1:16" ht="90" thickBot="1" x14ac:dyDescent="0.3">
      <c r="A62" s="2">
        <v>1</v>
      </c>
      <c r="B62" s="1" t="s">
        <v>88</v>
      </c>
      <c r="C62" s="1" t="s">
        <v>89</v>
      </c>
      <c r="D62" s="1" t="s">
        <v>41</v>
      </c>
      <c r="E62" s="1" t="s">
        <v>37</v>
      </c>
      <c r="F62" s="1" t="s">
        <v>38</v>
      </c>
      <c r="G62" s="1" t="s">
        <v>38</v>
      </c>
      <c r="H62" s="1" t="s">
        <v>38</v>
      </c>
      <c r="I62" s="1" t="s">
        <v>38</v>
      </c>
      <c r="J62" s="1" t="s">
        <v>38</v>
      </c>
      <c r="K62" s="1" t="s">
        <v>38</v>
      </c>
      <c r="L62" s="1" t="s">
        <v>38</v>
      </c>
      <c r="M62" s="1" t="s">
        <v>38</v>
      </c>
      <c r="N62" s="3" t="s">
        <v>39</v>
      </c>
      <c r="O62" s="3" t="s">
        <v>39</v>
      </c>
      <c r="P62" s="3" t="s">
        <v>39</v>
      </c>
    </row>
    <row r="63" spans="1:16" ht="90" thickBot="1" x14ac:dyDescent="0.3">
      <c r="A63" s="2">
        <v>1</v>
      </c>
      <c r="B63" s="1" t="s">
        <v>88</v>
      </c>
      <c r="C63" s="1" t="s">
        <v>90</v>
      </c>
      <c r="D63" s="1" t="s">
        <v>46</v>
      </c>
      <c r="E63" s="1" t="s">
        <v>37</v>
      </c>
      <c r="F63" s="1" t="s">
        <v>38</v>
      </c>
      <c r="G63" s="1" t="s">
        <v>38</v>
      </c>
      <c r="H63" s="1" t="s">
        <v>38</v>
      </c>
      <c r="I63" s="1" t="s">
        <v>38</v>
      </c>
      <c r="J63" s="1" t="s">
        <v>38</v>
      </c>
      <c r="K63" s="1" t="s">
        <v>38</v>
      </c>
      <c r="L63" s="1" t="s">
        <v>38</v>
      </c>
      <c r="M63" s="1" t="s">
        <v>38</v>
      </c>
      <c r="N63" s="3" t="s">
        <v>39</v>
      </c>
      <c r="O63" s="3" t="s">
        <v>39</v>
      </c>
      <c r="P63" s="3" t="s">
        <v>39</v>
      </c>
    </row>
    <row r="64" spans="1:16" ht="102.75" thickBot="1" x14ac:dyDescent="0.3">
      <c r="A64" s="2">
        <v>1</v>
      </c>
      <c r="B64" s="1" t="s">
        <v>88</v>
      </c>
      <c r="C64" s="1" t="s">
        <v>149</v>
      </c>
      <c r="D64" s="1" t="s">
        <v>46</v>
      </c>
      <c r="E64" s="1" t="s">
        <v>37</v>
      </c>
      <c r="F64" s="1" t="s">
        <v>38</v>
      </c>
      <c r="G64" s="1" t="s">
        <v>38</v>
      </c>
      <c r="H64" s="1" t="s">
        <v>38</v>
      </c>
      <c r="I64" s="1" t="s">
        <v>38</v>
      </c>
      <c r="J64" s="1" t="s">
        <v>38</v>
      </c>
      <c r="K64" s="1" t="s">
        <v>38</v>
      </c>
      <c r="L64" s="1" t="s">
        <v>38</v>
      </c>
      <c r="M64" s="1" t="s">
        <v>38</v>
      </c>
      <c r="N64" s="3" t="s">
        <v>39</v>
      </c>
      <c r="O64" s="3" t="s">
        <v>39</v>
      </c>
      <c r="P64" s="3" t="s">
        <v>39</v>
      </c>
    </row>
    <row r="65" spans="1:16" ht="90" thickBot="1" x14ac:dyDescent="0.3">
      <c r="A65" s="2">
        <v>1</v>
      </c>
      <c r="B65" s="1" t="s">
        <v>66</v>
      </c>
      <c r="C65" s="1" t="s">
        <v>91</v>
      </c>
      <c r="D65" s="1" t="s">
        <v>68</v>
      </c>
      <c r="E65" s="1" t="s">
        <v>37</v>
      </c>
      <c r="F65" s="1" t="s">
        <v>38</v>
      </c>
      <c r="G65" s="1" t="s">
        <v>38</v>
      </c>
      <c r="H65" s="1" t="s">
        <v>38</v>
      </c>
      <c r="I65" s="1" t="s">
        <v>38</v>
      </c>
      <c r="J65" s="1" t="s">
        <v>38</v>
      </c>
      <c r="K65" s="1" t="s">
        <v>38</v>
      </c>
      <c r="L65" s="1" t="s">
        <v>38</v>
      </c>
      <c r="M65" s="1" t="s">
        <v>38</v>
      </c>
      <c r="N65" s="3" t="s">
        <v>39</v>
      </c>
      <c r="O65" s="3" t="s">
        <v>39</v>
      </c>
      <c r="P65" s="3" t="s">
        <v>39</v>
      </c>
    </row>
    <row r="66" spans="1:16" ht="77.25" thickBot="1" x14ac:dyDescent="0.3">
      <c r="A66" s="2">
        <v>1</v>
      </c>
      <c r="B66" s="1" t="s">
        <v>16</v>
      </c>
      <c r="C66" s="1" t="s">
        <v>92</v>
      </c>
      <c r="D66" s="1" t="s">
        <v>68</v>
      </c>
      <c r="E66" s="1" t="s">
        <v>37</v>
      </c>
      <c r="F66" s="1" t="s">
        <v>38</v>
      </c>
      <c r="G66" s="1" t="s">
        <v>38</v>
      </c>
      <c r="H66" s="1" t="s">
        <v>38</v>
      </c>
      <c r="I66" s="1" t="s">
        <v>38</v>
      </c>
      <c r="J66" s="1" t="s">
        <v>38</v>
      </c>
      <c r="K66" s="1" t="s">
        <v>38</v>
      </c>
      <c r="L66" s="1" t="s">
        <v>38</v>
      </c>
      <c r="M66" s="1" t="s">
        <v>38</v>
      </c>
      <c r="N66" s="3" t="s">
        <v>39</v>
      </c>
      <c r="O66" s="3" t="s">
        <v>39</v>
      </c>
      <c r="P66" s="3" t="s">
        <v>39</v>
      </c>
    </row>
  </sheetData>
  <mergeCells count="16">
    <mergeCell ref="F4:F5"/>
    <mergeCell ref="A4:A5"/>
    <mergeCell ref="B4:B5"/>
    <mergeCell ref="C4:C5"/>
    <mergeCell ref="D4:D5"/>
    <mergeCell ref="E4:E5"/>
    <mergeCell ref="M4:M5"/>
    <mergeCell ref="N4:N5"/>
    <mergeCell ref="O4:O5"/>
    <mergeCell ref="P4:P5"/>
    <mergeCell ref="G4:G5"/>
    <mergeCell ref="H4:H5"/>
    <mergeCell ref="I4:I5"/>
    <mergeCell ref="J4:J5"/>
    <mergeCell ref="K4:K5"/>
    <mergeCell ref="L4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1770-CAAA-4793-B4F0-59340812311E}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 Backlog</vt:lpstr>
      <vt:lpstr>Retrospesctiva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silva</dc:creator>
  <cp:keywords/>
  <dc:description/>
  <cp:lastModifiedBy>Marcos Lazo</cp:lastModifiedBy>
  <cp:revision/>
  <dcterms:created xsi:type="dcterms:W3CDTF">2025-06-09T22:21:24Z</dcterms:created>
  <dcterms:modified xsi:type="dcterms:W3CDTF">2025-10-04T01:04:51Z</dcterms:modified>
  <cp:category/>
  <cp:contentStatus/>
</cp:coreProperties>
</file>